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ysoft\IGAC\Estructura R1R2 IGAC\"/>
    </mc:Choice>
  </mc:AlternateContent>
  <xr:revisionPtr revIDLastSave="0" documentId="13_ncr:1_{CE3E9D41-1FB0-485B-B63D-A0B57BCD2D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chivo Secuencial Catastro" sheetId="1" r:id="rId1"/>
    <sheet name="Archivo Secuencial Resoluciones" sheetId="4" r:id="rId2"/>
    <sheet name="Cabeceras r1r2" sheetId="7" r:id="rId3"/>
    <sheet name="Pentaho ESTRUCTURA" sheetId="5" r:id="rId4"/>
    <sheet name="ACCESS ESTRUCTURA (2)" sheetId="6" r:id="rId5"/>
  </sheets>
  <definedNames>
    <definedName name="_xlnm._FilterDatabase" localSheetId="4" hidden="1">'ACCESS ESTRUCTURA (2)'!$I$1:$M$47</definedName>
    <definedName name="_xlnm._FilterDatabase" localSheetId="0" hidden="1">'Archivo Secuencial Catastro'!$G$2:$K$48</definedName>
    <definedName name="_xlnm._FilterDatabase" localSheetId="3" hidden="1">'Pentaho ESTRUCTURA'!$J$1:$N$47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6" l="1"/>
  <c r="L4" i="6" s="1"/>
  <c r="L5" i="6" s="1"/>
  <c r="L6" i="6" s="1"/>
  <c r="L7" i="6" s="1"/>
  <c r="L8" i="6" s="1"/>
  <c r="L9" i="6" s="1"/>
  <c r="L10" i="6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M3" i="5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Q18" i="4" l="1"/>
  <c r="O4" i="4" l="1"/>
  <c r="P4" i="4" s="1"/>
  <c r="O5" i="4" s="1"/>
  <c r="P5" i="4" s="1"/>
  <c r="O6" i="4" s="1"/>
  <c r="P6" i="4" s="1"/>
  <c r="O7" i="4" s="1"/>
  <c r="P7" i="4" s="1"/>
  <c r="O8" i="4" s="1"/>
  <c r="P8" i="4" s="1"/>
  <c r="O9" i="4" s="1"/>
  <c r="P9" i="4" s="1"/>
  <c r="O10" i="4" s="1"/>
  <c r="P10" i="4" s="1"/>
  <c r="O11" i="4" s="1"/>
  <c r="P11" i="4" s="1"/>
  <c r="O12" i="4" s="1"/>
  <c r="P12" i="4" s="1"/>
  <c r="O13" i="4" s="1"/>
  <c r="P13" i="4" s="1"/>
  <c r="O14" i="4" s="1"/>
  <c r="P14" i="4" s="1"/>
  <c r="O15" i="4" s="1"/>
  <c r="P15" i="4" s="1"/>
  <c r="O16" i="4" s="1"/>
  <c r="P16" i="4" s="1"/>
  <c r="O17" i="4" s="1"/>
  <c r="P17" i="4" s="1"/>
  <c r="I4" i="4"/>
  <c r="J4" i="4" s="1"/>
  <c r="I5" i="4" s="1"/>
  <c r="J5" i="4" s="1"/>
  <c r="I6" i="4" s="1"/>
  <c r="J6" i="4" s="1"/>
  <c r="I7" i="4" s="1"/>
  <c r="J7" i="4" s="1"/>
  <c r="I8" i="4" s="1"/>
  <c r="J8" i="4" s="1"/>
  <c r="I9" i="4" s="1"/>
  <c r="J9" i="4" s="1"/>
  <c r="I10" i="4" s="1"/>
  <c r="J10" i="4" s="1"/>
  <c r="I11" i="4" s="1"/>
  <c r="J11" i="4" s="1"/>
  <c r="I12" i="4" s="1"/>
  <c r="J12" i="4" s="1"/>
  <c r="I13" i="4" s="1"/>
  <c r="J13" i="4" s="1"/>
  <c r="I14" i="4" s="1"/>
  <c r="J14" i="4" s="1"/>
  <c r="I15" i="4" s="1"/>
  <c r="J15" i="4" s="1"/>
  <c r="I16" i="4" s="1"/>
  <c r="J16" i="4" s="1"/>
  <c r="I17" i="4" s="1"/>
  <c r="J17" i="4" s="1"/>
  <c r="I18" i="4" s="1"/>
  <c r="J18" i="4" s="1"/>
  <c r="I19" i="4" s="1"/>
  <c r="J19" i="4" s="1"/>
  <c r="I20" i="4" s="1"/>
  <c r="J20" i="4" s="1"/>
  <c r="I21" i="4" s="1"/>
  <c r="J21" i="4" s="1"/>
  <c r="I22" i="4" s="1"/>
  <c r="J22" i="4" s="1"/>
  <c r="I23" i="4" s="1"/>
  <c r="J23" i="4" s="1"/>
  <c r="I24" i="4" s="1"/>
  <c r="J24" i="4" s="1"/>
  <c r="I25" i="4" s="1"/>
  <c r="J25" i="4" s="1"/>
  <c r="I26" i="4" s="1"/>
  <c r="J26" i="4" s="1"/>
  <c r="I27" i="4" s="1"/>
  <c r="J27" i="4" s="1"/>
  <c r="I28" i="4" s="1"/>
  <c r="J28" i="4" s="1"/>
  <c r="I29" i="4" s="1"/>
  <c r="J29" i="4" s="1"/>
  <c r="I30" i="4" s="1"/>
  <c r="J30" i="4" s="1"/>
  <c r="I31" i="4" s="1"/>
  <c r="J31" i="4" s="1"/>
  <c r="I32" i="4" s="1"/>
  <c r="J32" i="4" s="1"/>
  <c r="I33" i="4" s="1"/>
  <c r="J33" i="4" s="1"/>
  <c r="I34" i="4" s="1"/>
  <c r="J34" i="4" s="1"/>
  <c r="I35" i="4" s="1"/>
  <c r="J35" i="4" s="1"/>
  <c r="I36" i="4" s="1"/>
  <c r="J36" i="4" s="1"/>
  <c r="I37" i="4" s="1"/>
  <c r="J37" i="4" s="1"/>
  <c r="I38" i="4" s="1"/>
  <c r="J38" i="4" s="1"/>
  <c r="I39" i="4" s="1"/>
  <c r="J39" i="4" s="1"/>
  <c r="I40" i="4" s="1"/>
  <c r="J40" i="4" s="1"/>
  <c r="I41" i="4" s="1"/>
  <c r="J41" i="4" s="1"/>
  <c r="I42" i="4" s="1"/>
  <c r="J42" i="4" s="1"/>
  <c r="I43" i="4" s="1"/>
  <c r="J43" i="4" s="1"/>
  <c r="I44" i="4" s="1"/>
  <c r="J44" i="4" s="1"/>
  <c r="I45" i="4" s="1"/>
  <c r="J45" i="4" s="1"/>
  <c r="I46" i="4" s="1"/>
  <c r="J46" i="4" s="1"/>
  <c r="I47" i="4" s="1"/>
  <c r="J47" i="4" s="1"/>
  <c r="I48" i="4" s="1"/>
  <c r="J48" i="4" s="1"/>
  <c r="I49" i="4" s="1"/>
  <c r="J49" i="4" s="1"/>
  <c r="I50" i="4" s="1"/>
  <c r="J50" i="4" s="1"/>
  <c r="I51" i="4" s="1"/>
  <c r="J51" i="4" s="1"/>
  <c r="C4" i="4"/>
  <c r="D4" i="4" s="1"/>
  <c r="C5" i="4" s="1"/>
  <c r="D5" i="4" s="1"/>
  <c r="C6" i="4" s="1"/>
  <c r="D6" i="4" s="1"/>
  <c r="C7" i="4" s="1"/>
  <c r="D7" i="4" s="1"/>
  <c r="C8" i="4" s="1"/>
  <c r="D8" i="4" s="1"/>
  <c r="C9" i="4" s="1"/>
  <c r="D9" i="4" s="1"/>
  <c r="C10" i="4" s="1"/>
  <c r="D10" i="4" s="1"/>
  <c r="C11" i="4" s="1"/>
  <c r="D11" i="4" s="1"/>
  <c r="C12" i="4" s="1"/>
  <c r="D12" i="4" s="1"/>
  <c r="C13" i="4" s="1"/>
  <c r="D13" i="4" s="1"/>
  <c r="C14" i="4" s="1"/>
  <c r="D14" i="4" s="1"/>
  <c r="C15" i="4" s="1"/>
  <c r="D15" i="4" s="1"/>
  <c r="C16" i="4" s="1"/>
  <c r="D16" i="4" s="1"/>
  <c r="C17" i="4" s="1"/>
  <c r="D17" i="4" s="1"/>
  <c r="C18" i="4" s="1"/>
  <c r="D18" i="4" s="1"/>
  <c r="C19" i="4" s="1"/>
  <c r="D19" i="4" s="1"/>
  <c r="C20" i="4" s="1"/>
  <c r="D20" i="4" s="1"/>
  <c r="C21" i="4" s="1"/>
  <c r="D21" i="4" s="1"/>
  <c r="C22" i="4" s="1"/>
  <c r="D22" i="4" s="1"/>
  <c r="C23" i="4" s="1"/>
  <c r="D23" i="4" s="1"/>
  <c r="C24" i="4" s="1"/>
  <c r="D24" i="4" s="1"/>
  <c r="C25" i="4" s="1"/>
  <c r="D25" i="4" s="1"/>
  <c r="C26" i="4" s="1"/>
  <c r="D26" i="4" s="1"/>
  <c r="C4" i="1"/>
  <c r="D4" i="1" s="1"/>
  <c r="C5" i="1" s="1"/>
  <c r="D5" i="1" s="1"/>
  <c r="C6" i="1" s="1"/>
  <c r="D6" i="1" s="1"/>
  <c r="C7" i="1" s="1"/>
  <c r="D7" i="1" s="1"/>
  <c r="C8" i="1" s="1"/>
  <c r="D8" i="1" s="1"/>
  <c r="C9" i="1" s="1"/>
  <c r="D9" i="1" s="1"/>
  <c r="C10" i="1" s="1"/>
  <c r="D10" i="1" s="1"/>
  <c r="C11" i="1" s="1"/>
  <c r="D11" i="1" s="1"/>
  <c r="C12" i="1" s="1"/>
  <c r="D12" i="1" s="1"/>
  <c r="C13" i="1" s="1"/>
  <c r="D13" i="1" s="1"/>
  <c r="C14" i="1" s="1"/>
  <c r="D14" i="1" s="1"/>
  <c r="C15" i="1" s="1"/>
  <c r="D15" i="1" s="1"/>
  <c r="C16" i="1" s="1"/>
  <c r="D16" i="1" s="1"/>
  <c r="C17" i="1" s="1"/>
  <c r="D17" i="1" s="1"/>
  <c r="C18" i="1" s="1"/>
  <c r="J3" i="1"/>
  <c r="I4" i="1" s="1"/>
  <c r="J4" i="1" s="1"/>
  <c r="I5" i="1" s="1"/>
  <c r="J5" i="1" s="1"/>
  <c r="I6" i="1" s="1"/>
  <c r="J6" i="1" s="1"/>
  <c r="I7" i="1" s="1"/>
  <c r="J7" i="1" s="1"/>
  <c r="I8" i="1" s="1"/>
  <c r="J8" i="1" s="1"/>
  <c r="I9" i="1" s="1"/>
  <c r="J9" i="1" s="1"/>
  <c r="I10" i="1" s="1"/>
  <c r="J10" i="1" s="1"/>
  <c r="I11" i="1" s="1"/>
  <c r="J11" i="1" s="1"/>
  <c r="I12" i="1" s="1"/>
  <c r="J12" i="1" s="1"/>
  <c r="I13" i="1" s="1"/>
  <c r="J13" i="1" s="1"/>
  <c r="I14" i="1" s="1"/>
  <c r="J14" i="1" s="1"/>
  <c r="I15" i="1" s="1"/>
  <c r="J15" i="1" s="1"/>
  <c r="I16" i="1" s="1"/>
  <c r="J16" i="1" s="1"/>
  <c r="I17" i="1" s="1"/>
  <c r="J17" i="1" s="1"/>
  <c r="I18" i="1" s="1"/>
  <c r="J18" i="1" s="1"/>
  <c r="I19" i="1" s="1"/>
  <c r="J19" i="1" s="1"/>
  <c r="I20" i="1" s="1"/>
  <c r="J20" i="1" s="1"/>
  <c r="I21" i="1" s="1"/>
  <c r="J21" i="1" s="1"/>
  <c r="I22" i="1" s="1"/>
  <c r="J22" i="1" s="1"/>
  <c r="I23" i="1" s="1"/>
  <c r="J23" i="1" s="1"/>
  <c r="I24" i="1" s="1"/>
  <c r="J24" i="1" s="1"/>
  <c r="I25" i="1" s="1"/>
  <c r="J25" i="1" s="1"/>
  <c r="I26" i="1" s="1"/>
  <c r="J26" i="1" s="1"/>
  <c r="I27" i="1" s="1"/>
  <c r="J27" i="1" s="1"/>
  <c r="I28" i="1" s="1"/>
  <c r="J28" i="1" s="1"/>
  <c r="I29" i="1" s="1"/>
  <c r="J29" i="1" s="1"/>
  <c r="I30" i="1" s="1"/>
  <c r="J30" i="1" s="1"/>
  <c r="I31" i="1" s="1"/>
  <c r="J31" i="1" s="1"/>
  <c r="I32" i="1" s="1"/>
  <c r="J32" i="1" s="1"/>
  <c r="I33" i="1" s="1"/>
  <c r="J33" i="1" s="1"/>
  <c r="I34" i="1" s="1"/>
  <c r="J34" i="1" s="1"/>
  <c r="I35" i="1" s="1"/>
  <c r="J35" i="1" s="1"/>
  <c r="I36" i="1" s="1"/>
  <c r="J36" i="1" s="1"/>
  <c r="I37" i="1" s="1"/>
  <c r="J37" i="1" s="1"/>
  <c r="I38" i="1" s="1"/>
  <c r="J38" i="1" s="1"/>
  <c r="I39" i="1" s="1"/>
  <c r="J39" i="1" s="1"/>
  <c r="I40" i="1" s="1"/>
  <c r="J40" i="1" s="1"/>
  <c r="I41" i="1" s="1"/>
  <c r="J41" i="1" s="1"/>
  <c r="I42" i="1" s="1"/>
  <c r="J42" i="1" s="1"/>
  <c r="I43" i="1" s="1"/>
  <c r="J43" i="1" s="1"/>
  <c r="I44" i="1" s="1"/>
  <c r="J44" i="1" s="1"/>
  <c r="I45" i="1" s="1"/>
  <c r="J45" i="1" s="1"/>
  <c r="I46" i="1" s="1"/>
  <c r="J46" i="1" s="1"/>
  <c r="I47" i="1" s="1"/>
  <c r="J47" i="1" s="1"/>
  <c r="D18" i="1" l="1"/>
  <c r="C19" i="1" s="1"/>
  <c r="D19" i="1" s="1"/>
  <c r="C20" i="1" s="1"/>
  <c r="D20" i="1" s="1"/>
  <c r="K48" i="1"/>
  <c r="E21" i="1"/>
  <c r="E27" i="4"/>
  <c r="K52" i="4"/>
</calcChain>
</file>

<file path=xl/sharedStrings.xml><?xml version="1.0" encoding="utf-8"?>
<sst xmlns="http://schemas.openxmlformats.org/spreadsheetml/2006/main" count="691" uniqueCount="138">
  <si>
    <t>MUNICIPIO</t>
  </si>
  <si>
    <t>NUMERO_DEL_PREDIO</t>
  </si>
  <si>
    <t>NUMERO_DE_ORDEN</t>
  </si>
  <si>
    <t>TOTAL_REGISTROS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</si>
  <si>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</si>
  <si>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</si>
  <si>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</si>
  <si>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</si>
  <si>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</si>
  <si>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</si>
  <si>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</si>
  <si>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</si>
  <si>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</si>
  <si>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</si>
  <si>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ESTRATO_1</t>
  </si>
  <si>
    <t>PUNTAJE_1</t>
  </si>
  <si>
    <t>AREA_CONSTRUIDA_1</t>
  </si>
  <si>
    <t>HABITACIONES_2</t>
  </si>
  <si>
    <t>BANOS_2</t>
  </si>
  <si>
    <t>LOCALES_2</t>
  </si>
  <si>
    <t>PISOS_2</t>
  </si>
  <si>
    <t>ESTRATO_2</t>
  </si>
  <si>
    <t>PUNTAJE_2</t>
  </si>
  <si>
    <t>AREA_CONSTRUIDA_2</t>
  </si>
  <si>
    <t>HABITACIONES_3</t>
  </si>
  <si>
    <t>BANOS_3</t>
  </si>
  <si>
    <t>LOCALES_3</t>
  </si>
  <si>
    <t>PISOS_3</t>
  </si>
  <si>
    <t>ESTRATO_3</t>
  </si>
  <si>
    <t>PUNTAJE_3</t>
  </si>
  <si>
    <t>AREA_CONSTRUIDA_3</t>
  </si>
  <si>
    <t>VIGENCIA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</si>
  <si>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</si>
  <si>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</si>
  <si>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</si>
  <si>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</si>
  <si>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</si>
  <si>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</si>
  <si>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</si>
  <si>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</si>
  <si>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</si>
  <si>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</si>
  <si>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CAMPO</t>
  </si>
  <si>
    <t>TIPO</t>
  </si>
  <si>
    <t>POSICIONES</t>
  </si>
  <si>
    <t>DEPARTAMENTO</t>
  </si>
  <si>
    <t>TIPO_DE_REGISTRO</t>
  </si>
  <si>
    <t>NUMERO_PREDIAL_ANTERIOR</t>
  </si>
  <si>
    <t>TEXTO</t>
  </si>
  <si>
    <t>MATRICULA_INMOBILIARIA</t>
  </si>
  <si>
    <t>USO_1</t>
  </si>
  <si>
    <t>USO_2</t>
  </si>
  <si>
    <t>USO_3</t>
  </si>
  <si>
    <t xml:space="preserve">DEPARTAMENTO     </t>
  </si>
  <si>
    <t xml:space="preserve">MUNICIPIO        </t>
  </si>
  <si>
    <t xml:space="preserve">NOMBRE           </t>
  </si>
  <si>
    <t xml:space="preserve">DIRECCION        </t>
  </si>
  <si>
    <t xml:space="preserve">COMUNA           </t>
  </si>
  <si>
    <t xml:space="preserve">VIGENCIA         </t>
  </si>
  <si>
    <t xml:space="preserve">RESOLUCION       </t>
  </si>
  <si>
    <t xml:space="preserve">RADICACION       </t>
  </si>
  <si>
    <t xml:space="preserve">CLASE MUTACION   </t>
  </si>
  <si>
    <t xml:space="preserve">CANCELA_INSCRIBE </t>
  </si>
  <si>
    <t xml:space="preserve">TIPO_DE_REGISTRO </t>
  </si>
  <si>
    <t xml:space="preserve">NUMERO_DE_ORDEN  </t>
  </si>
  <si>
    <t xml:space="preserve">TOTAL_REGISTROS  </t>
  </si>
  <si>
    <t xml:space="preserve">ESTADO_CIVIL     </t>
  </si>
  <si>
    <t xml:space="preserve">NUMERO_DOCUMENTO </t>
  </si>
  <si>
    <t xml:space="preserve">TIPO_DOCUMENTO   </t>
  </si>
  <si>
    <t xml:space="preserve">DECRETOS         </t>
  </si>
  <si>
    <t>ESTRUCTURA REGISTRO TIPO 1</t>
  </si>
  <si>
    <t>ESTRUCTURA REGISTRO TIPO 3</t>
  </si>
  <si>
    <t>ESTRUCTURA REGISTRO TIPO 2</t>
  </si>
  <si>
    <t>TIPO_TRAMITE</t>
  </si>
  <si>
    <t>MOTIVACION</t>
  </si>
  <si>
    <t>ESPACIO_1</t>
  </si>
  <si>
    <t>TIPIFICACION_1</t>
  </si>
  <si>
    <t>TIPIFICACION_2</t>
  </si>
  <si>
    <t>TIPIFICACION_3</t>
  </si>
  <si>
    <t>ESPACIO</t>
  </si>
  <si>
    <t>ESPACIO_2</t>
  </si>
  <si>
    <t>ESPACIO_3</t>
  </si>
  <si>
    <t>ESPACIO_4</t>
  </si>
  <si>
    <t>ESPACIO_5</t>
  </si>
  <si>
    <t>ESPACIO_6</t>
  </si>
  <si>
    <t>Pos Ini</t>
  </si>
  <si>
    <t>Pos Fin</t>
  </si>
  <si>
    <t>Num. Entero</t>
  </si>
  <si>
    <t>Num. Con Decimal</t>
  </si>
  <si>
    <t>String</t>
  </si>
  <si>
    <t>Name</t>
  </si>
  <si>
    <t>Type</t>
  </si>
  <si>
    <t>Format</t>
  </si>
  <si>
    <t>Position</t>
  </si>
  <si>
    <t>Length</t>
  </si>
  <si>
    <t xml:space="preserve">NOTA : La columna POSICIONES DE LA ESTRUCTURA SECUENCIAL CATASTRO, son la columna LENGTH en PENTAHO … </t>
  </si>
  <si>
    <t>Integer</t>
  </si>
  <si>
    <t>Number</t>
  </si>
  <si>
    <t>Precision</t>
  </si>
  <si>
    <t>Currency</t>
  </si>
  <si>
    <t>Decimal</t>
  </si>
  <si>
    <t>SELECCIONAR DESDE LA CABECERA PARA QUE TOME BIEN LA 1RA LINEA COPIADA</t>
  </si>
  <si>
    <t>NoPredialAnterior</t>
  </si>
  <si>
    <t>Vigencia</t>
  </si>
  <si>
    <t>Espacio6</t>
  </si>
  <si>
    <t>AreaConstruida (m2)</t>
  </si>
  <si>
    <t>Puntaje</t>
  </si>
  <si>
    <t>Uso</t>
  </si>
  <si>
    <t>Estrato</t>
  </si>
  <si>
    <t>Pisos</t>
  </si>
  <si>
    <t>Locales</t>
  </si>
  <si>
    <t>Baños</t>
  </si>
  <si>
    <t>Habitaciones</t>
  </si>
  <si>
    <t>Espacio5</t>
  </si>
  <si>
    <t>Espacio4</t>
  </si>
  <si>
    <t>Espacio3</t>
  </si>
  <si>
    <t>AreaTerreno (m2)</t>
  </si>
  <si>
    <t>ZonaEconomica</t>
  </si>
  <si>
    <t>ZonaFisica</t>
  </si>
  <si>
    <t>Espacio2</t>
  </si>
  <si>
    <t>Espacio1</t>
  </si>
  <si>
    <t>MatriculaInmobiliaria</t>
  </si>
  <si>
    <t>TotalRegistro</t>
  </si>
  <si>
    <t>NoOrden</t>
  </si>
  <si>
    <t>TipoRegistro</t>
  </si>
  <si>
    <t>NoPredial</t>
  </si>
  <si>
    <t>Municipio</t>
  </si>
  <si>
    <t>Departamento</t>
  </si>
  <si>
    <t>Avaluo ($)</t>
  </si>
  <si>
    <t>DestinoEconomico</t>
  </si>
  <si>
    <t>Comuna</t>
  </si>
  <si>
    <t>Direccion</t>
  </si>
  <si>
    <t>NoDocumento</t>
  </si>
  <si>
    <t>TipoDocumento</t>
  </si>
  <si>
    <t>EstadoCivil</t>
  </si>
  <si>
    <t>Nombre</t>
  </si>
  <si>
    <t>RI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</si>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</sst>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* #,##0.0_-;\-&quot;$&quot;* #,##0.0_-;_-&quot;$&quot;* &quot;-&quot;??_-;_-@_-"/>
  </numFmts>
  <fonts count="10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/>
    <xf numFmtId="0" fontId="6" fillId="0" borderId="0" xfId="0" applyFont="1" applyFill="1"/>
    <xf numFmtId="0" fontId="6" fillId="0" borderId="0" xfId="0" applyFont="1" applyFill="1" applyAlignment="1">
      <alignment horizontal="right"/>
    </xf>
    <xf numFmtId="0" fontId="6" fillId="0" borderId="0" xfId="0" applyFont="1"/>
    <xf numFmtId="0" fontId="5" fillId="0" borderId="5" xfId="0" applyFont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Fill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 applyAlignment="1">
      <alignment horizontal="center"/>
    </xf>
    <xf numFmtId="0" fontId="0" fillId="0" borderId="5" xfId="0" applyBorder="1"/>
    <xf numFmtId="0" fontId="4" fillId="0" borderId="5" xfId="0" applyFont="1" applyFill="1" applyBorder="1"/>
    <xf numFmtId="0" fontId="4" fillId="0" borderId="6" xfId="0" applyFont="1" applyFill="1" applyBorder="1"/>
    <xf numFmtId="0" fontId="4" fillId="0" borderId="7" xfId="0" applyFont="1" applyBorder="1" applyAlignment="1">
      <alignment horizontal="center"/>
    </xf>
    <xf numFmtId="0" fontId="4" fillId="0" borderId="8" xfId="0" applyFont="1" applyFill="1" applyBorder="1"/>
    <xf numFmtId="0" fontId="4" fillId="0" borderId="9" xfId="0" applyFont="1" applyFill="1" applyBorder="1"/>
    <xf numFmtId="0" fontId="4" fillId="0" borderId="10" xfId="0" applyFont="1" applyFill="1" applyBorder="1" applyAlignment="1">
      <alignment horizontal="center"/>
    </xf>
    <xf numFmtId="0" fontId="5" fillId="0" borderId="11" xfId="0" applyFont="1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/>
    <xf numFmtId="0" fontId="3" fillId="0" borderId="1" xfId="0" applyFont="1" applyFill="1" applyBorder="1" applyAlignment="1">
      <alignment horizontal="center"/>
    </xf>
    <xf numFmtId="0" fontId="5" fillId="0" borderId="2" xfId="0" applyFont="1" applyFill="1" applyBorder="1"/>
    <xf numFmtId="0" fontId="0" fillId="0" borderId="3" xfId="0" applyFill="1" applyBorder="1"/>
    <xf numFmtId="0" fontId="0" fillId="0" borderId="4" xfId="0" applyFill="1" applyBorder="1" applyAlignment="1">
      <alignment horizontal="center"/>
    </xf>
    <xf numFmtId="0" fontId="5" fillId="0" borderId="5" xfId="0" applyFont="1" applyFill="1" applyBorder="1"/>
    <xf numFmtId="0" fontId="0" fillId="0" borderId="6" xfId="0" applyFill="1" applyBorder="1"/>
    <xf numFmtId="0" fontId="0" fillId="0" borderId="7" xfId="0" applyFill="1" applyBorder="1" applyAlignment="1">
      <alignment horizontal="center"/>
    </xf>
    <xf numFmtId="0" fontId="0" fillId="0" borderId="5" xfId="0" applyFill="1" applyBorder="1"/>
    <xf numFmtId="0" fontId="2" fillId="0" borderId="7" xfId="0" applyFont="1" applyFill="1" applyBorder="1" applyAlignment="1">
      <alignment horizontal="center"/>
    </xf>
    <xf numFmtId="0" fontId="2" fillId="0" borderId="5" xfId="0" applyFont="1" applyFill="1" applyBorder="1"/>
    <xf numFmtId="0" fontId="3" fillId="0" borderId="1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4" fillId="0" borderId="16" xfId="0" applyFont="1" applyFill="1" applyBorder="1" applyAlignment="1">
      <alignment horizontal="center"/>
    </xf>
    <xf numFmtId="0" fontId="4" fillId="0" borderId="17" xfId="0" applyFont="1" applyFill="1" applyBorder="1"/>
    <xf numFmtId="0" fontId="4" fillId="0" borderId="18" xfId="0" applyFont="1" applyFill="1" applyBorder="1"/>
    <xf numFmtId="0" fontId="0" fillId="0" borderId="19" xfId="0" applyBorder="1"/>
    <xf numFmtId="0" fontId="0" fillId="0" borderId="20" xfId="0" applyBorder="1"/>
    <xf numFmtId="0" fontId="4" fillId="0" borderId="1" xfId="0" applyFont="1" applyFill="1" applyBorder="1"/>
    <xf numFmtId="0" fontId="0" fillId="0" borderId="1" xfId="0" applyBorder="1"/>
    <xf numFmtId="0" fontId="0" fillId="2" borderId="0" xfId="0" applyFill="1"/>
    <xf numFmtId="0" fontId="7" fillId="2" borderId="0" xfId="0" applyFont="1" applyFill="1"/>
    <xf numFmtId="0" fontId="3" fillId="2" borderId="0" xfId="0" applyFont="1" applyFill="1"/>
    <xf numFmtId="0" fontId="1" fillId="0" borderId="0" xfId="1"/>
    <xf numFmtId="3" fontId="1" fillId="0" borderId="0" xfId="1" applyNumberFormat="1"/>
    <xf numFmtId="164" fontId="0" fillId="0" borderId="0" xfId="2" applyNumberFormat="1" applyFont="1"/>
    <xf numFmtId="0" fontId="8" fillId="0" borderId="0" xfId="1" applyFont="1" applyAlignment="1">
      <alignment horizontal="center"/>
    </xf>
    <xf numFmtId="3" fontId="8" fillId="0" borderId="0" xfId="1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0" fontId="9" fillId="2" borderId="0" xfId="1" applyFont="1" applyFill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</cellXfs>
  <cellStyles count="3">
    <cellStyle name="Moneda 2" xfId="2" xr:uid="{907685C3-2D57-455B-8751-F0AD8AE9CDC7}"/>
    <cellStyle name="Normal" xfId="0" builtinId="0"/>
    <cellStyle name="Normal 2" xfId="1" xr:uid="{AF682291-22FA-4035-BC13-572AB2453E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N48"/>
  <sheetViews>
    <sheetView tabSelected="1" zoomScale="160" zoomScaleNormal="160" workbookViewId="0">
      <selection sqref="A1:E1"/>
    </sheetView>
  </sheetViews>
  <sheetFormatPr baseColWidth="10" defaultColWidth="9.140625" defaultRowHeight="15" x14ac:dyDescent="0.25"/>
  <cols>
    <col min="1" max="1" width="27.7109375" bestFit="1" customWidth="1"/>
    <col min="2" max="2" width="6.5703125" bestFit="1" customWidth="1"/>
    <col min="3" max="3" width="6.85546875" bestFit="1" customWidth="1"/>
    <col min="4" max="4" width="10.42578125" customWidth="1"/>
    <col min="5" max="5" width="11.7109375" bestFit="1" customWidth="1"/>
    <col min="6" max="6" width="14.42578125" customWidth="1"/>
    <col min="7" max="7" width="27.7109375" bestFit="1" customWidth="1"/>
    <col min="8" max="8" width="6.5703125" bestFit="1" customWidth="1"/>
    <col min="9" max="9" width="6.85546875" bestFit="1" customWidth="1"/>
    <col min="10" max="10" width="7.28515625" customWidth="1"/>
    <col min="11" max="11" width="11.7109375" bestFit="1" customWidth="1"/>
    <col min="14" max="14" width="9.140625" hidden="1" customWidth="1"/>
  </cols>
  <sheetData>
    <row r="1" spans="1:12" x14ac:dyDescent="0.25">
      <c r="A1" s="57" t="s">
        <v>70</v>
      </c>
      <c r="B1" s="57"/>
      <c r="C1" s="57"/>
      <c r="D1" s="57"/>
      <c r="E1" s="57"/>
      <c r="G1" s="58" t="s">
        <v>72</v>
      </c>
      <c r="H1" s="58"/>
      <c r="I1" s="58"/>
      <c r="J1" s="58"/>
      <c r="K1" s="58"/>
      <c r="L1" s="26"/>
    </row>
    <row r="2" spans="1:12" x14ac:dyDescent="0.25">
      <c r="A2" s="25" t="s">
        <v>42</v>
      </c>
      <c r="B2" s="25" t="s">
        <v>43</v>
      </c>
      <c r="C2" s="37" t="s">
        <v>85</v>
      </c>
      <c r="D2" s="37" t="s">
        <v>86</v>
      </c>
      <c r="E2" s="25" t="s">
        <v>44</v>
      </c>
      <c r="G2" s="25" t="s">
        <v>42</v>
      </c>
      <c r="H2" s="25" t="s">
        <v>43</v>
      </c>
      <c r="I2" s="37" t="s">
        <v>85</v>
      </c>
      <c r="J2" s="37" t="s">
        <v>86</v>
      </c>
      <c r="K2" s="25" t="s">
        <v>44</v>
      </c>
    </row>
    <row r="3" spans="1:12" x14ac:dyDescent="0.25">
      <c r="A3" s="22" t="s">
        <v>45</v>
      </c>
      <c r="B3" s="23" t="s">
        <v>48</v>
      </c>
      <c r="C3" s="38">
        <v>1</v>
      </c>
      <c r="D3" s="38">
        <v>2</v>
      </c>
      <c r="E3" s="24">
        <v>2</v>
      </c>
      <c r="G3" s="22" t="s">
        <v>45</v>
      </c>
      <c r="H3" s="23" t="s">
        <v>48</v>
      </c>
      <c r="I3" s="38">
        <v>1</v>
      </c>
      <c r="J3" s="38">
        <f>+(I3+K3) - 1</f>
        <v>2</v>
      </c>
      <c r="K3" s="24">
        <v>2</v>
      </c>
    </row>
    <row r="4" spans="1:12" x14ac:dyDescent="0.25">
      <c r="A4" s="7" t="s">
        <v>0</v>
      </c>
      <c r="B4" s="8" t="s">
        <v>48</v>
      </c>
      <c r="C4" s="39">
        <f>+D3+1</f>
        <v>3</v>
      </c>
      <c r="D4" s="38">
        <f>+(C4+E4) - 1</f>
        <v>5</v>
      </c>
      <c r="E4" s="9">
        <v>3</v>
      </c>
      <c r="G4" s="7" t="s">
        <v>0</v>
      </c>
      <c r="H4" s="8" t="s">
        <v>48</v>
      </c>
      <c r="I4" s="39">
        <f>+J3+1</f>
        <v>3</v>
      </c>
      <c r="J4" s="38">
        <f>+(I4+K4) - 1</f>
        <v>5</v>
      </c>
      <c r="K4" s="9">
        <v>3</v>
      </c>
    </row>
    <row r="5" spans="1:12" x14ac:dyDescent="0.25">
      <c r="A5" s="10" t="s">
        <v>1</v>
      </c>
      <c r="B5" s="11" t="s">
        <v>48</v>
      </c>
      <c r="C5" s="39">
        <f t="shared" ref="C5:C20" si="0">+D4+1</f>
        <v>6</v>
      </c>
      <c r="D5" s="38">
        <f t="shared" ref="D5:D20" si="1">+(C5+E5) - 1</f>
        <v>30</v>
      </c>
      <c r="E5" s="12">
        <v>25</v>
      </c>
      <c r="G5" s="16" t="s">
        <v>1</v>
      </c>
      <c r="H5" s="17" t="s">
        <v>48</v>
      </c>
      <c r="I5" s="39">
        <f t="shared" ref="I5:I47" si="2">+J4+1</f>
        <v>6</v>
      </c>
      <c r="J5" s="38">
        <f t="shared" ref="J5:J47" si="3">+(I5+K5) - 1</f>
        <v>30</v>
      </c>
      <c r="K5" s="12">
        <v>25</v>
      </c>
    </row>
    <row r="6" spans="1:12" x14ac:dyDescent="0.25">
      <c r="A6" s="7" t="s">
        <v>46</v>
      </c>
      <c r="B6" s="13" t="s">
        <v>48</v>
      </c>
      <c r="C6" s="39">
        <f t="shared" si="0"/>
        <v>31</v>
      </c>
      <c r="D6" s="38">
        <f t="shared" si="1"/>
        <v>31</v>
      </c>
      <c r="E6" s="14">
        <v>1</v>
      </c>
      <c r="G6" s="7" t="s">
        <v>46</v>
      </c>
      <c r="H6" s="13" t="s">
        <v>48</v>
      </c>
      <c r="I6" s="39">
        <f t="shared" si="2"/>
        <v>31</v>
      </c>
      <c r="J6" s="38">
        <f t="shared" si="3"/>
        <v>31</v>
      </c>
      <c r="K6" s="14">
        <v>1</v>
      </c>
    </row>
    <row r="7" spans="1:12" x14ac:dyDescent="0.25">
      <c r="A7" s="15" t="s">
        <v>2</v>
      </c>
      <c r="B7" s="8" t="s">
        <v>48</v>
      </c>
      <c r="C7" s="39">
        <f t="shared" si="0"/>
        <v>32</v>
      </c>
      <c r="D7" s="38">
        <f t="shared" si="1"/>
        <v>34</v>
      </c>
      <c r="E7" s="9">
        <v>3</v>
      </c>
      <c r="G7" s="15" t="s">
        <v>2</v>
      </c>
      <c r="H7" s="8" t="s">
        <v>48</v>
      </c>
      <c r="I7" s="39">
        <f t="shared" si="2"/>
        <v>32</v>
      </c>
      <c r="J7" s="38">
        <f t="shared" si="3"/>
        <v>34</v>
      </c>
      <c r="K7" s="9">
        <v>3</v>
      </c>
    </row>
    <row r="8" spans="1:12" x14ac:dyDescent="0.25">
      <c r="A8" s="15" t="s">
        <v>3</v>
      </c>
      <c r="B8" s="8" t="s">
        <v>48</v>
      </c>
      <c r="C8" s="39">
        <f t="shared" si="0"/>
        <v>35</v>
      </c>
      <c r="D8" s="38">
        <f t="shared" si="1"/>
        <v>37</v>
      </c>
      <c r="E8" s="9">
        <v>3</v>
      </c>
      <c r="G8" s="15" t="s">
        <v>3</v>
      </c>
      <c r="H8" s="8" t="s">
        <v>48</v>
      </c>
      <c r="I8" s="39">
        <f t="shared" si="2"/>
        <v>35</v>
      </c>
      <c r="J8" s="38">
        <f t="shared" si="3"/>
        <v>37</v>
      </c>
      <c r="K8" s="9">
        <v>3</v>
      </c>
    </row>
    <row r="9" spans="1:12" x14ac:dyDescent="0.25">
      <c r="A9" s="16" t="s">
        <v>32</v>
      </c>
      <c r="B9" s="17" t="s">
        <v>48</v>
      </c>
      <c r="C9" s="39">
        <f t="shared" si="0"/>
        <v>38</v>
      </c>
      <c r="D9" s="38">
        <f t="shared" si="1"/>
        <v>137</v>
      </c>
      <c r="E9" s="12">
        <v>100</v>
      </c>
      <c r="G9" s="15" t="s">
        <v>49</v>
      </c>
      <c r="H9" s="8" t="s">
        <v>48</v>
      </c>
      <c r="I9" s="39">
        <f t="shared" si="2"/>
        <v>38</v>
      </c>
      <c r="J9" s="38">
        <f t="shared" si="3"/>
        <v>55</v>
      </c>
      <c r="K9" s="9">
        <v>18</v>
      </c>
    </row>
    <row r="10" spans="1:12" x14ac:dyDescent="0.25">
      <c r="A10" s="15" t="s">
        <v>33</v>
      </c>
      <c r="B10" s="8" t="s">
        <v>48</v>
      </c>
      <c r="C10" s="39">
        <f t="shared" si="0"/>
        <v>138</v>
      </c>
      <c r="D10" s="38">
        <f t="shared" si="1"/>
        <v>138</v>
      </c>
      <c r="E10" s="9">
        <v>1</v>
      </c>
      <c r="G10" s="10" t="s">
        <v>75</v>
      </c>
      <c r="H10" s="11" t="s">
        <v>48</v>
      </c>
      <c r="I10" s="39">
        <f t="shared" si="2"/>
        <v>56</v>
      </c>
      <c r="J10" s="38">
        <f t="shared" si="3"/>
        <v>77</v>
      </c>
      <c r="K10" s="18">
        <v>22</v>
      </c>
    </row>
    <row r="11" spans="1:12" x14ac:dyDescent="0.25">
      <c r="A11" s="15" t="s">
        <v>34</v>
      </c>
      <c r="B11" s="8" t="s">
        <v>48</v>
      </c>
      <c r="C11" s="39">
        <f t="shared" si="0"/>
        <v>139</v>
      </c>
      <c r="D11" s="38">
        <f t="shared" si="1"/>
        <v>139</v>
      </c>
      <c r="E11" s="9">
        <v>1</v>
      </c>
      <c r="G11" s="10" t="s">
        <v>4</v>
      </c>
      <c r="H11" s="11" t="s">
        <v>48</v>
      </c>
      <c r="I11" s="39">
        <f t="shared" si="2"/>
        <v>78</v>
      </c>
      <c r="J11" s="38">
        <f t="shared" si="3"/>
        <v>80</v>
      </c>
      <c r="K11" s="18">
        <v>3</v>
      </c>
    </row>
    <row r="12" spans="1:12" x14ac:dyDescent="0.25">
      <c r="A12" s="15" t="s">
        <v>35</v>
      </c>
      <c r="B12" s="8" t="s">
        <v>48</v>
      </c>
      <c r="C12" s="39">
        <f t="shared" si="0"/>
        <v>140</v>
      </c>
      <c r="D12" s="38">
        <f t="shared" si="1"/>
        <v>151</v>
      </c>
      <c r="E12" s="9">
        <v>12</v>
      </c>
      <c r="G12" s="10" t="s">
        <v>5</v>
      </c>
      <c r="H12" s="11" t="s">
        <v>48</v>
      </c>
      <c r="I12" s="39">
        <f t="shared" si="2"/>
        <v>81</v>
      </c>
      <c r="J12" s="38">
        <f t="shared" si="3"/>
        <v>83</v>
      </c>
      <c r="K12" s="18">
        <v>3</v>
      </c>
    </row>
    <row r="13" spans="1:12" x14ac:dyDescent="0.25">
      <c r="A13" s="16" t="s">
        <v>36</v>
      </c>
      <c r="B13" s="17" t="s">
        <v>48</v>
      </c>
      <c r="C13" s="39">
        <f t="shared" si="0"/>
        <v>152</v>
      </c>
      <c r="D13" s="38">
        <f t="shared" si="1"/>
        <v>251</v>
      </c>
      <c r="E13" s="12">
        <v>100</v>
      </c>
      <c r="G13" s="10" t="s">
        <v>6</v>
      </c>
      <c r="H13" s="11" t="s">
        <v>48</v>
      </c>
      <c r="I13" s="39">
        <f t="shared" si="2"/>
        <v>84</v>
      </c>
      <c r="J13" s="38">
        <f t="shared" si="3"/>
        <v>98</v>
      </c>
      <c r="K13" s="18">
        <v>15</v>
      </c>
      <c r="L13" t="s">
        <v>88</v>
      </c>
    </row>
    <row r="14" spans="1:12" x14ac:dyDescent="0.25">
      <c r="A14" s="15" t="s">
        <v>37</v>
      </c>
      <c r="B14" s="8" t="s">
        <v>48</v>
      </c>
      <c r="C14" s="39">
        <f t="shared" si="0"/>
        <v>252</v>
      </c>
      <c r="D14" s="38">
        <f t="shared" si="1"/>
        <v>252</v>
      </c>
      <c r="E14" s="9">
        <v>1</v>
      </c>
      <c r="G14" s="10" t="s">
        <v>80</v>
      </c>
      <c r="H14" s="11" t="s">
        <v>48</v>
      </c>
      <c r="I14" s="39">
        <f t="shared" si="2"/>
        <v>99</v>
      </c>
      <c r="J14" s="38">
        <f t="shared" si="3"/>
        <v>120</v>
      </c>
      <c r="K14" s="18">
        <v>22</v>
      </c>
    </row>
    <row r="15" spans="1:12" x14ac:dyDescent="0.25">
      <c r="A15" s="15" t="s">
        <v>38</v>
      </c>
      <c r="B15" s="8" t="s">
        <v>48</v>
      </c>
      <c r="C15" s="39">
        <f t="shared" si="0"/>
        <v>253</v>
      </c>
      <c r="D15" s="38">
        <f t="shared" si="1"/>
        <v>253</v>
      </c>
      <c r="E15" s="9">
        <v>1</v>
      </c>
      <c r="G15" s="10" t="s">
        <v>7</v>
      </c>
      <c r="H15" s="11" t="s">
        <v>48</v>
      </c>
      <c r="I15" s="39">
        <f t="shared" si="2"/>
        <v>121</v>
      </c>
      <c r="J15" s="38">
        <f t="shared" si="3"/>
        <v>123</v>
      </c>
      <c r="K15" s="18">
        <v>3</v>
      </c>
    </row>
    <row r="16" spans="1:12" x14ac:dyDescent="0.25">
      <c r="A16" s="10" t="s">
        <v>39</v>
      </c>
      <c r="B16" s="11" t="s">
        <v>48</v>
      </c>
      <c r="C16" s="39">
        <f t="shared" si="0"/>
        <v>254</v>
      </c>
      <c r="D16" s="38">
        <f t="shared" si="1"/>
        <v>268</v>
      </c>
      <c r="E16" s="18">
        <v>15</v>
      </c>
      <c r="F16" t="s">
        <v>87</v>
      </c>
      <c r="G16" s="10" t="s">
        <v>8</v>
      </c>
      <c r="H16" s="11" t="s">
        <v>48</v>
      </c>
      <c r="I16" s="39">
        <f t="shared" si="2"/>
        <v>124</v>
      </c>
      <c r="J16" s="38">
        <f t="shared" si="3"/>
        <v>126</v>
      </c>
      <c r="K16" s="18">
        <v>3</v>
      </c>
    </row>
    <row r="17" spans="1:12" x14ac:dyDescent="0.25">
      <c r="A17" s="15" t="s">
        <v>40</v>
      </c>
      <c r="B17" s="8" t="s">
        <v>48</v>
      </c>
      <c r="C17" s="39">
        <f t="shared" si="0"/>
        <v>269</v>
      </c>
      <c r="D17" s="38">
        <f t="shared" si="1"/>
        <v>274</v>
      </c>
      <c r="E17" s="9">
        <v>6</v>
      </c>
      <c r="F17" t="s">
        <v>87</v>
      </c>
      <c r="G17" s="10" t="s">
        <v>9</v>
      </c>
      <c r="H17" s="11" t="s">
        <v>48</v>
      </c>
      <c r="I17" s="39">
        <f t="shared" si="2"/>
        <v>127</v>
      </c>
      <c r="J17" s="38">
        <f t="shared" si="3"/>
        <v>141</v>
      </c>
      <c r="K17" s="18">
        <v>15</v>
      </c>
      <c r="L17" t="s">
        <v>88</v>
      </c>
    </row>
    <row r="18" spans="1:12" x14ac:dyDescent="0.25">
      <c r="A18" s="16" t="s">
        <v>41</v>
      </c>
      <c r="B18" s="17" t="s">
        <v>48</v>
      </c>
      <c r="C18" s="39">
        <f t="shared" si="0"/>
        <v>275</v>
      </c>
      <c r="D18" s="38">
        <f t="shared" si="1"/>
        <v>289</v>
      </c>
      <c r="E18" s="12">
        <v>15</v>
      </c>
      <c r="F18" t="s">
        <v>87</v>
      </c>
      <c r="G18" s="10" t="s">
        <v>81</v>
      </c>
      <c r="H18" s="11" t="s">
        <v>48</v>
      </c>
      <c r="I18" s="39">
        <f t="shared" si="2"/>
        <v>142</v>
      </c>
      <c r="J18" s="38">
        <f t="shared" si="3"/>
        <v>163</v>
      </c>
      <c r="K18" s="18">
        <v>22</v>
      </c>
    </row>
    <row r="19" spans="1:12" x14ac:dyDescent="0.25">
      <c r="A19" s="15" t="s">
        <v>31</v>
      </c>
      <c r="B19" s="8" t="s">
        <v>48</v>
      </c>
      <c r="C19" s="39">
        <f t="shared" si="0"/>
        <v>290</v>
      </c>
      <c r="D19" s="38">
        <f t="shared" si="1"/>
        <v>297</v>
      </c>
      <c r="E19" s="9">
        <v>8</v>
      </c>
      <c r="G19" s="15" t="s">
        <v>10</v>
      </c>
      <c r="H19" s="8" t="s">
        <v>48</v>
      </c>
      <c r="I19" s="39">
        <f t="shared" si="2"/>
        <v>164</v>
      </c>
      <c r="J19" s="38">
        <f t="shared" si="3"/>
        <v>167</v>
      </c>
      <c r="K19" s="9">
        <v>4</v>
      </c>
    </row>
    <row r="20" spans="1:12" x14ac:dyDescent="0.25">
      <c r="A20" s="19" t="s">
        <v>47</v>
      </c>
      <c r="B20" s="20" t="s">
        <v>48</v>
      </c>
      <c r="C20" s="39">
        <f t="shared" si="0"/>
        <v>298</v>
      </c>
      <c r="D20" s="8">
        <f t="shared" si="1"/>
        <v>312</v>
      </c>
      <c r="E20" s="21">
        <v>15</v>
      </c>
      <c r="G20" s="15" t="s">
        <v>11</v>
      </c>
      <c r="H20" s="8" t="s">
        <v>48</v>
      </c>
      <c r="I20" s="39">
        <f t="shared" si="2"/>
        <v>168</v>
      </c>
      <c r="J20" s="38">
        <f t="shared" si="3"/>
        <v>171</v>
      </c>
      <c r="K20" s="9">
        <v>4</v>
      </c>
    </row>
    <row r="21" spans="1:12" x14ac:dyDescent="0.25">
      <c r="E21" s="6">
        <f>SUM(E3:E20)</f>
        <v>312</v>
      </c>
      <c r="G21" s="15" t="s">
        <v>12</v>
      </c>
      <c r="H21" s="8" t="s">
        <v>48</v>
      </c>
      <c r="I21" s="39">
        <f t="shared" si="2"/>
        <v>172</v>
      </c>
      <c r="J21" s="38">
        <f t="shared" si="3"/>
        <v>175</v>
      </c>
      <c r="K21" s="9">
        <v>4</v>
      </c>
    </row>
    <row r="22" spans="1:12" x14ac:dyDescent="0.25">
      <c r="G22" s="15" t="s">
        <v>13</v>
      </c>
      <c r="H22" s="8" t="s">
        <v>48</v>
      </c>
      <c r="I22" s="39">
        <f t="shared" si="2"/>
        <v>176</v>
      </c>
      <c r="J22" s="38">
        <f t="shared" si="3"/>
        <v>177</v>
      </c>
      <c r="K22" s="9">
        <v>2</v>
      </c>
    </row>
    <row r="23" spans="1:12" x14ac:dyDescent="0.25">
      <c r="G23" s="15" t="s">
        <v>14</v>
      </c>
      <c r="H23" s="8" t="s">
        <v>48</v>
      </c>
      <c r="I23" s="39">
        <f t="shared" si="2"/>
        <v>178</v>
      </c>
      <c r="J23" s="38">
        <f t="shared" si="3"/>
        <v>178</v>
      </c>
      <c r="K23" s="9">
        <v>1</v>
      </c>
    </row>
    <row r="24" spans="1:12" x14ac:dyDescent="0.25">
      <c r="G24" s="10" t="s">
        <v>50</v>
      </c>
      <c r="H24" s="11" t="s">
        <v>48</v>
      </c>
      <c r="I24" s="39">
        <f t="shared" si="2"/>
        <v>179</v>
      </c>
      <c r="J24" s="38">
        <f t="shared" si="3"/>
        <v>181</v>
      </c>
      <c r="K24" s="18">
        <v>3</v>
      </c>
    </row>
    <row r="25" spans="1:12" x14ac:dyDescent="0.25">
      <c r="G25" s="15" t="s">
        <v>15</v>
      </c>
      <c r="H25" s="8" t="s">
        <v>48</v>
      </c>
      <c r="I25" s="39">
        <f t="shared" si="2"/>
        <v>182</v>
      </c>
      <c r="J25" s="38">
        <f t="shared" si="3"/>
        <v>183</v>
      </c>
      <c r="K25" s="9">
        <v>2</v>
      </c>
    </row>
    <row r="26" spans="1:12" x14ac:dyDescent="0.25">
      <c r="G26" s="15" t="s">
        <v>16</v>
      </c>
      <c r="H26" s="8" t="s">
        <v>48</v>
      </c>
      <c r="I26" s="39">
        <f t="shared" si="2"/>
        <v>184</v>
      </c>
      <c r="J26" s="38">
        <f t="shared" si="3"/>
        <v>189</v>
      </c>
      <c r="K26" s="9">
        <v>6</v>
      </c>
      <c r="L26" t="s">
        <v>88</v>
      </c>
    </row>
    <row r="27" spans="1:12" x14ac:dyDescent="0.25">
      <c r="G27" s="10" t="s">
        <v>82</v>
      </c>
      <c r="H27" s="11" t="s">
        <v>48</v>
      </c>
      <c r="I27" s="39">
        <f t="shared" si="2"/>
        <v>190</v>
      </c>
      <c r="J27" s="38">
        <f t="shared" si="3"/>
        <v>211</v>
      </c>
      <c r="K27" s="18">
        <v>22</v>
      </c>
    </row>
    <row r="28" spans="1:12" x14ac:dyDescent="0.25">
      <c r="G28" s="15" t="s">
        <v>17</v>
      </c>
      <c r="H28" s="8" t="s">
        <v>48</v>
      </c>
      <c r="I28" s="39">
        <f t="shared" si="2"/>
        <v>212</v>
      </c>
      <c r="J28" s="38">
        <f t="shared" si="3"/>
        <v>215</v>
      </c>
      <c r="K28" s="9">
        <v>4</v>
      </c>
    </row>
    <row r="29" spans="1:12" x14ac:dyDescent="0.25">
      <c r="G29" s="15" t="s">
        <v>18</v>
      </c>
      <c r="H29" s="8" t="s">
        <v>48</v>
      </c>
      <c r="I29" s="39">
        <f t="shared" si="2"/>
        <v>216</v>
      </c>
      <c r="J29" s="38">
        <f t="shared" si="3"/>
        <v>219</v>
      </c>
      <c r="K29" s="9">
        <v>4</v>
      </c>
    </row>
    <row r="30" spans="1:12" x14ac:dyDescent="0.25">
      <c r="G30" s="15" t="s">
        <v>19</v>
      </c>
      <c r="H30" s="8" t="s">
        <v>48</v>
      </c>
      <c r="I30" s="39">
        <f t="shared" si="2"/>
        <v>220</v>
      </c>
      <c r="J30" s="38">
        <f t="shared" si="3"/>
        <v>223</v>
      </c>
      <c r="K30" s="9">
        <v>4</v>
      </c>
    </row>
    <row r="31" spans="1:12" x14ac:dyDescent="0.25">
      <c r="G31" s="15" t="s">
        <v>20</v>
      </c>
      <c r="H31" s="8" t="s">
        <v>48</v>
      </c>
      <c r="I31" s="39">
        <f t="shared" si="2"/>
        <v>224</v>
      </c>
      <c r="J31" s="38">
        <f t="shared" si="3"/>
        <v>225</v>
      </c>
      <c r="K31" s="9">
        <v>2</v>
      </c>
    </row>
    <row r="32" spans="1:12" x14ac:dyDescent="0.25">
      <c r="G32" s="15" t="s">
        <v>21</v>
      </c>
      <c r="H32" s="8" t="s">
        <v>48</v>
      </c>
      <c r="I32" s="39">
        <f t="shared" si="2"/>
        <v>226</v>
      </c>
      <c r="J32" s="38">
        <f t="shared" si="3"/>
        <v>226</v>
      </c>
      <c r="K32" s="9">
        <v>1</v>
      </c>
    </row>
    <row r="33" spans="7:12" x14ac:dyDescent="0.25">
      <c r="G33" s="10" t="s">
        <v>51</v>
      </c>
      <c r="H33" s="11" t="s">
        <v>48</v>
      </c>
      <c r="I33" s="39">
        <f t="shared" si="2"/>
        <v>227</v>
      </c>
      <c r="J33" s="38">
        <f t="shared" si="3"/>
        <v>229</v>
      </c>
      <c r="K33" s="18">
        <v>3</v>
      </c>
    </row>
    <row r="34" spans="7:12" x14ac:dyDescent="0.25">
      <c r="G34" s="15" t="s">
        <v>22</v>
      </c>
      <c r="H34" s="8" t="s">
        <v>48</v>
      </c>
      <c r="I34" s="39">
        <f t="shared" si="2"/>
        <v>230</v>
      </c>
      <c r="J34" s="38">
        <f t="shared" si="3"/>
        <v>231</v>
      </c>
      <c r="K34" s="9">
        <v>2</v>
      </c>
    </row>
    <row r="35" spans="7:12" x14ac:dyDescent="0.25">
      <c r="G35" s="15" t="s">
        <v>23</v>
      </c>
      <c r="H35" s="8" t="s">
        <v>48</v>
      </c>
      <c r="I35" s="39">
        <f t="shared" si="2"/>
        <v>232</v>
      </c>
      <c r="J35" s="38">
        <f t="shared" si="3"/>
        <v>237</v>
      </c>
      <c r="K35" s="9">
        <v>6</v>
      </c>
      <c r="L35" t="s">
        <v>88</v>
      </c>
    </row>
    <row r="36" spans="7:12" x14ac:dyDescent="0.25">
      <c r="G36" s="10" t="s">
        <v>83</v>
      </c>
      <c r="H36" s="11" t="s">
        <v>48</v>
      </c>
      <c r="I36" s="39">
        <f t="shared" si="2"/>
        <v>238</v>
      </c>
      <c r="J36" s="38">
        <f t="shared" si="3"/>
        <v>259</v>
      </c>
      <c r="K36" s="18">
        <v>22</v>
      </c>
    </row>
    <row r="37" spans="7:12" x14ac:dyDescent="0.25">
      <c r="G37" s="15" t="s">
        <v>24</v>
      </c>
      <c r="H37" s="8" t="s">
        <v>48</v>
      </c>
      <c r="I37" s="39">
        <f t="shared" si="2"/>
        <v>260</v>
      </c>
      <c r="J37" s="38">
        <f t="shared" si="3"/>
        <v>263</v>
      </c>
      <c r="K37" s="9">
        <v>4</v>
      </c>
    </row>
    <row r="38" spans="7:12" x14ac:dyDescent="0.25">
      <c r="G38" s="15" t="s">
        <v>25</v>
      </c>
      <c r="H38" s="8" t="s">
        <v>48</v>
      </c>
      <c r="I38" s="39">
        <f t="shared" si="2"/>
        <v>264</v>
      </c>
      <c r="J38" s="38">
        <f t="shared" si="3"/>
        <v>267</v>
      </c>
      <c r="K38" s="9">
        <v>4</v>
      </c>
    </row>
    <row r="39" spans="7:12" x14ac:dyDescent="0.25">
      <c r="G39" s="15" t="s">
        <v>26</v>
      </c>
      <c r="H39" s="8" t="s">
        <v>48</v>
      </c>
      <c r="I39" s="39">
        <f t="shared" si="2"/>
        <v>268</v>
      </c>
      <c r="J39" s="38">
        <f t="shared" si="3"/>
        <v>271</v>
      </c>
      <c r="K39" s="9">
        <v>4</v>
      </c>
    </row>
    <row r="40" spans="7:12" x14ac:dyDescent="0.25">
      <c r="G40" s="15" t="s">
        <v>27</v>
      </c>
      <c r="H40" s="8" t="s">
        <v>48</v>
      </c>
      <c r="I40" s="39">
        <f t="shared" si="2"/>
        <v>272</v>
      </c>
      <c r="J40" s="38">
        <f t="shared" si="3"/>
        <v>273</v>
      </c>
      <c r="K40" s="9">
        <v>2</v>
      </c>
    </row>
    <row r="41" spans="7:12" x14ac:dyDescent="0.25">
      <c r="G41" s="15" t="s">
        <v>28</v>
      </c>
      <c r="H41" s="8" t="s">
        <v>48</v>
      </c>
      <c r="I41" s="39">
        <f t="shared" si="2"/>
        <v>274</v>
      </c>
      <c r="J41" s="38">
        <f t="shared" si="3"/>
        <v>274</v>
      </c>
      <c r="K41" s="9">
        <v>1</v>
      </c>
    </row>
    <row r="42" spans="7:12" x14ac:dyDescent="0.25">
      <c r="G42" s="10" t="s">
        <v>52</v>
      </c>
      <c r="H42" s="11" t="s">
        <v>48</v>
      </c>
      <c r="I42" s="39">
        <f t="shared" si="2"/>
        <v>275</v>
      </c>
      <c r="J42" s="38">
        <f t="shared" si="3"/>
        <v>277</v>
      </c>
      <c r="K42" s="18">
        <v>3</v>
      </c>
    </row>
    <row r="43" spans="7:12" x14ac:dyDescent="0.25">
      <c r="G43" s="15" t="s">
        <v>29</v>
      </c>
      <c r="H43" s="8" t="s">
        <v>48</v>
      </c>
      <c r="I43" s="39">
        <f t="shared" si="2"/>
        <v>278</v>
      </c>
      <c r="J43" s="38">
        <f t="shared" si="3"/>
        <v>279</v>
      </c>
      <c r="K43" s="9">
        <v>2</v>
      </c>
    </row>
    <row r="44" spans="7:12" x14ac:dyDescent="0.25">
      <c r="G44" s="15" t="s">
        <v>30</v>
      </c>
      <c r="H44" s="8" t="s">
        <v>48</v>
      </c>
      <c r="I44" s="39">
        <f t="shared" si="2"/>
        <v>280</v>
      </c>
      <c r="J44" s="38">
        <f t="shared" si="3"/>
        <v>285</v>
      </c>
      <c r="K44" s="9">
        <v>6</v>
      </c>
      <c r="L44" t="s">
        <v>88</v>
      </c>
    </row>
    <row r="45" spans="7:12" x14ac:dyDescent="0.25">
      <c r="G45" s="10" t="s">
        <v>84</v>
      </c>
      <c r="H45" s="11" t="s">
        <v>48</v>
      </c>
      <c r="I45" s="39">
        <f t="shared" si="2"/>
        <v>286</v>
      </c>
      <c r="J45" s="38">
        <f t="shared" si="3"/>
        <v>307</v>
      </c>
      <c r="K45" s="18">
        <v>22</v>
      </c>
    </row>
    <row r="46" spans="7:12" x14ac:dyDescent="0.25">
      <c r="G46" s="15" t="s">
        <v>31</v>
      </c>
      <c r="H46" s="8" t="s">
        <v>48</v>
      </c>
      <c r="I46" s="39">
        <f t="shared" si="2"/>
        <v>308</v>
      </c>
      <c r="J46" s="38">
        <f t="shared" si="3"/>
        <v>315</v>
      </c>
      <c r="K46" s="9">
        <v>8</v>
      </c>
    </row>
    <row r="47" spans="7:12" x14ac:dyDescent="0.25">
      <c r="G47" s="19" t="s">
        <v>47</v>
      </c>
      <c r="H47" s="20" t="s">
        <v>48</v>
      </c>
      <c r="I47" s="39">
        <f t="shared" si="2"/>
        <v>316</v>
      </c>
      <c r="J47" s="38">
        <f t="shared" si="3"/>
        <v>330</v>
      </c>
      <c r="K47" s="21">
        <v>15</v>
      </c>
    </row>
    <row r="48" spans="7:12" x14ac:dyDescent="0.25">
      <c r="K48" s="6">
        <f>SUM(K3:K47)</f>
        <v>330</v>
      </c>
    </row>
  </sheetData>
  <autoFilter ref="G2:K48" xr:uid="{00000000-0009-0000-0000-000000000000}"/>
  <mergeCells count="2">
    <mergeCell ref="A1:E1"/>
    <mergeCell ref="G1:K1"/>
  </mergeCells>
  <pageMargins left="0.7" right="0.7" top="0.75" bottom="0.75" header="0.3" footer="0.3"/>
  <pageSetup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Q52"/>
  <sheetViews>
    <sheetView zoomScale="115" zoomScaleNormal="115" workbookViewId="0">
      <selection activeCell="M17" sqref="M17"/>
    </sheetView>
  </sheetViews>
  <sheetFormatPr baseColWidth="10" defaultRowHeight="15" x14ac:dyDescent="0.25"/>
  <cols>
    <col min="1" max="1" width="27.7109375" style="1" bestFit="1" customWidth="1"/>
    <col min="2" max="2" width="6.5703125" style="1" bestFit="1" customWidth="1"/>
    <col min="3" max="3" width="6.85546875" style="1" bestFit="1" customWidth="1"/>
    <col min="4" max="4" width="7.28515625" style="1" bestFit="1" customWidth="1"/>
    <col min="5" max="5" width="11.7109375" style="2" bestFit="1" customWidth="1"/>
    <col min="6" max="6" width="11.42578125" style="1"/>
    <col min="7" max="7" width="27.7109375" style="1" bestFit="1" customWidth="1"/>
    <col min="8" max="8" width="6.5703125" style="1" bestFit="1" customWidth="1"/>
    <col min="9" max="9" width="6.85546875" style="1" bestFit="1" customWidth="1"/>
    <col min="10" max="10" width="7.28515625" style="1" bestFit="1" customWidth="1"/>
    <col min="11" max="11" width="11.7109375" style="1" bestFit="1" customWidth="1"/>
    <col min="12" max="12" width="11.42578125" style="1"/>
    <col min="13" max="13" width="27.7109375" style="1" bestFit="1" customWidth="1"/>
    <col min="14" max="14" width="6.5703125" style="1" bestFit="1" customWidth="1"/>
    <col min="15" max="15" width="6.85546875" style="1" bestFit="1" customWidth="1"/>
    <col min="16" max="16" width="7.28515625" style="1" bestFit="1" customWidth="1"/>
    <col min="17" max="17" width="11.7109375" style="1" bestFit="1" customWidth="1"/>
    <col min="18" max="16384" width="11.42578125" style="1"/>
  </cols>
  <sheetData>
    <row r="1" spans="1:17" x14ac:dyDescent="0.25">
      <c r="A1" s="59" t="s">
        <v>70</v>
      </c>
      <c r="B1" s="59"/>
      <c r="C1" s="59"/>
      <c r="D1" s="59"/>
      <c r="E1" s="59"/>
      <c r="G1" s="59" t="s">
        <v>72</v>
      </c>
      <c r="H1" s="59"/>
      <c r="I1" s="59"/>
      <c r="J1" s="59"/>
      <c r="K1" s="59"/>
      <c r="M1" s="59" t="s">
        <v>71</v>
      </c>
      <c r="N1" s="59"/>
      <c r="O1" s="59"/>
      <c r="P1" s="59"/>
      <c r="Q1" s="59"/>
    </row>
    <row r="2" spans="1:17" x14ac:dyDescent="0.25">
      <c r="A2" s="27" t="s">
        <v>42</v>
      </c>
      <c r="B2" s="27" t="s">
        <v>43</v>
      </c>
      <c r="C2" s="37" t="s">
        <v>85</v>
      </c>
      <c r="D2" s="37" t="s">
        <v>86</v>
      </c>
      <c r="E2" s="27" t="s">
        <v>44</v>
      </c>
      <c r="G2" s="27" t="s">
        <v>42</v>
      </c>
      <c r="H2" s="27" t="s">
        <v>43</v>
      </c>
      <c r="I2" s="37" t="s">
        <v>85</v>
      </c>
      <c r="J2" s="37" t="s">
        <v>86</v>
      </c>
      <c r="K2" s="27" t="s">
        <v>44</v>
      </c>
      <c r="M2" s="27" t="s">
        <v>42</v>
      </c>
      <c r="N2" s="27" t="s">
        <v>43</v>
      </c>
      <c r="O2" s="37" t="s">
        <v>85</v>
      </c>
      <c r="P2" s="37" t="s">
        <v>86</v>
      </c>
      <c r="Q2" s="27" t="s">
        <v>44</v>
      </c>
    </row>
    <row r="3" spans="1:17" x14ac:dyDescent="0.25">
      <c r="A3" s="28" t="s">
        <v>53</v>
      </c>
      <c r="B3" s="29" t="s">
        <v>48</v>
      </c>
      <c r="C3" s="38">
        <v>1</v>
      </c>
      <c r="D3" s="38">
        <v>2</v>
      </c>
      <c r="E3" s="30">
        <v>2</v>
      </c>
      <c r="G3" s="28" t="s">
        <v>53</v>
      </c>
      <c r="H3" s="29" t="s">
        <v>48</v>
      </c>
      <c r="I3" s="38">
        <v>1</v>
      </c>
      <c r="J3" s="38">
        <v>2</v>
      </c>
      <c r="K3" s="30">
        <v>2</v>
      </c>
      <c r="M3" s="28" t="s">
        <v>53</v>
      </c>
      <c r="N3" s="29" t="s">
        <v>48</v>
      </c>
      <c r="O3" s="38">
        <v>1</v>
      </c>
      <c r="P3" s="38">
        <v>2</v>
      </c>
      <c r="Q3" s="30">
        <v>2</v>
      </c>
    </row>
    <row r="4" spans="1:17" x14ac:dyDescent="0.25">
      <c r="A4" s="31" t="s">
        <v>54</v>
      </c>
      <c r="B4" s="32" t="s">
        <v>48</v>
      </c>
      <c r="C4" s="39">
        <f>+D3+1</f>
        <v>3</v>
      </c>
      <c r="D4" s="38">
        <f>+(C4+E4) - 1</f>
        <v>5</v>
      </c>
      <c r="E4" s="33">
        <v>3</v>
      </c>
      <c r="G4" s="31" t="s">
        <v>54</v>
      </c>
      <c r="H4" s="32" t="s">
        <v>48</v>
      </c>
      <c r="I4" s="39">
        <f>+J3+1</f>
        <v>3</v>
      </c>
      <c r="J4" s="38">
        <f>+(I4+K4) - 1</f>
        <v>5</v>
      </c>
      <c r="K4" s="33">
        <v>3</v>
      </c>
      <c r="M4" s="31" t="s">
        <v>54</v>
      </c>
      <c r="N4" s="32" t="s">
        <v>48</v>
      </c>
      <c r="O4" s="39">
        <f>+P3+1</f>
        <v>3</v>
      </c>
      <c r="P4" s="38">
        <f>+(O4+Q4) - 1</f>
        <v>5</v>
      </c>
      <c r="Q4" s="33">
        <v>3</v>
      </c>
    </row>
    <row r="5" spans="1:17" x14ac:dyDescent="0.25">
      <c r="A5" s="16" t="s">
        <v>59</v>
      </c>
      <c r="B5" s="17" t="s">
        <v>48</v>
      </c>
      <c r="C5" s="39">
        <f t="shared" ref="C5:C26" si="0">+D4+1</f>
        <v>6</v>
      </c>
      <c r="D5" s="38">
        <f t="shared" ref="D5:D26" si="1">+(C5+E5) - 1</f>
        <v>18</v>
      </c>
      <c r="E5" s="12">
        <v>13</v>
      </c>
      <c r="G5" s="16" t="s">
        <v>59</v>
      </c>
      <c r="H5" s="17" t="s">
        <v>48</v>
      </c>
      <c r="I5" s="39">
        <f t="shared" ref="I5:I51" si="2">+J4+1</f>
        <v>6</v>
      </c>
      <c r="J5" s="38">
        <f t="shared" ref="J5:J51" si="3">+(I5+K5) - 1</f>
        <v>18</v>
      </c>
      <c r="K5" s="12">
        <v>13</v>
      </c>
      <c r="M5" s="16" t="s">
        <v>59</v>
      </c>
      <c r="N5" s="17" t="s">
        <v>48</v>
      </c>
      <c r="O5" s="39">
        <f t="shared" ref="O5:O16" si="4">+P4+1</f>
        <v>6</v>
      </c>
      <c r="P5" s="38">
        <f t="shared" ref="P5:P16" si="5">+(O5+Q5) - 1</f>
        <v>18</v>
      </c>
      <c r="Q5" s="12">
        <v>13</v>
      </c>
    </row>
    <row r="6" spans="1:17" x14ac:dyDescent="0.25">
      <c r="A6" s="16" t="s">
        <v>60</v>
      </c>
      <c r="B6" s="17" t="s">
        <v>48</v>
      </c>
      <c r="C6" s="39">
        <f t="shared" si="0"/>
        <v>19</v>
      </c>
      <c r="D6" s="38">
        <f t="shared" si="1"/>
        <v>33</v>
      </c>
      <c r="E6" s="12">
        <v>15</v>
      </c>
      <c r="G6" s="16" t="s">
        <v>60</v>
      </c>
      <c r="H6" s="17" t="s">
        <v>48</v>
      </c>
      <c r="I6" s="39">
        <f t="shared" si="2"/>
        <v>19</v>
      </c>
      <c r="J6" s="38">
        <f t="shared" si="3"/>
        <v>33</v>
      </c>
      <c r="K6" s="12">
        <v>15</v>
      </c>
      <c r="M6" s="16" t="s">
        <v>60</v>
      </c>
      <c r="N6" s="17" t="s">
        <v>48</v>
      </c>
      <c r="O6" s="39">
        <f t="shared" si="4"/>
        <v>19</v>
      </c>
      <c r="P6" s="38">
        <f t="shared" si="5"/>
        <v>33</v>
      </c>
      <c r="Q6" s="12">
        <v>15</v>
      </c>
    </row>
    <row r="7" spans="1:17" x14ac:dyDescent="0.25">
      <c r="A7" s="16" t="s">
        <v>73</v>
      </c>
      <c r="B7" s="17" t="s">
        <v>48</v>
      </c>
      <c r="C7" s="39">
        <f t="shared" si="0"/>
        <v>34</v>
      </c>
      <c r="D7" s="38">
        <f t="shared" si="1"/>
        <v>35</v>
      </c>
      <c r="E7" s="12">
        <v>2</v>
      </c>
      <c r="G7" s="16" t="s">
        <v>73</v>
      </c>
      <c r="H7" s="17" t="s">
        <v>48</v>
      </c>
      <c r="I7" s="39">
        <f t="shared" si="2"/>
        <v>34</v>
      </c>
      <c r="J7" s="38">
        <f t="shared" si="3"/>
        <v>35</v>
      </c>
      <c r="K7" s="12">
        <v>2</v>
      </c>
      <c r="M7" s="16" t="s">
        <v>73</v>
      </c>
      <c r="N7" s="17" t="s">
        <v>48</v>
      </c>
      <c r="O7" s="39">
        <f t="shared" si="4"/>
        <v>34</v>
      </c>
      <c r="P7" s="38">
        <f t="shared" si="5"/>
        <v>35</v>
      </c>
      <c r="Q7" s="12">
        <v>2</v>
      </c>
    </row>
    <row r="8" spans="1:17" x14ac:dyDescent="0.25">
      <c r="A8" s="34" t="s">
        <v>61</v>
      </c>
      <c r="B8" s="32" t="s">
        <v>48</v>
      </c>
      <c r="C8" s="39">
        <f t="shared" si="0"/>
        <v>36</v>
      </c>
      <c r="D8" s="38">
        <f t="shared" si="1"/>
        <v>36</v>
      </c>
      <c r="E8" s="33">
        <v>1</v>
      </c>
      <c r="G8" s="34" t="s">
        <v>61</v>
      </c>
      <c r="H8" s="32" t="s">
        <v>48</v>
      </c>
      <c r="I8" s="39">
        <f t="shared" si="2"/>
        <v>36</v>
      </c>
      <c r="J8" s="38">
        <f t="shared" si="3"/>
        <v>36</v>
      </c>
      <c r="K8" s="33">
        <v>1</v>
      </c>
      <c r="M8" s="34" t="s">
        <v>61</v>
      </c>
      <c r="N8" s="32" t="s">
        <v>48</v>
      </c>
      <c r="O8" s="39">
        <f t="shared" si="4"/>
        <v>36</v>
      </c>
      <c r="P8" s="38">
        <f t="shared" si="5"/>
        <v>36</v>
      </c>
      <c r="Q8" s="33">
        <v>1</v>
      </c>
    </row>
    <row r="9" spans="1:17" x14ac:dyDescent="0.25">
      <c r="A9" s="16" t="s">
        <v>1</v>
      </c>
      <c r="B9" s="17" t="s">
        <v>48</v>
      </c>
      <c r="C9" s="39">
        <f t="shared" si="0"/>
        <v>37</v>
      </c>
      <c r="D9" s="38">
        <f t="shared" si="1"/>
        <v>61</v>
      </c>
      <c r="E9" s="12">
        <v>25</v>
      </c>
      <c r="G9" s="16" t="s">
        <v>1</v>
      </c>
      <c r="H9" s="17" t="s">
        <v>48</v>
      </c>
      <c r="I9" s="39">
        <f t="shared" si="2"/>
        <v>37</v>
      </c>
      <c r="J9" s="38">
        <f t="shared" si="3"/>
        <v>61</v>
      </c>
      <c r="K9" s="12">
        <v>25</v>
      </c>
      <c r="M9" s="16" t="s">
        <v>1</v>
      </c>
      <c r="N9" s="17" t="s">
        <v>48</v>
      </c>
      <c r="O9" s="39">
        <f t="shared" si="4"/>
        <v>37</v>
      </c>
      <c r="P9" s="38">
        <f t="shared" si="5"/>
        <v>61</v>
      </c>
      <c r="Q9" s="12">
        <v>25</v>
      </c>
    </row>
    <row r="10" spans="1:17" x14ac:dyDescent="0.25">
      <c r="A10" s="34" t="s">
        <v>62</v>
      </c>
      <c r="B10" s="32" t="s">
        <v>48</v>
      </c>
      <c r="C10" s="39">
        <f t="shared" si="0"/>
        <v>62</v>
      </c>
      <c r="D10" s="38">
        <f t="shared" si="1"/>
        <v>62</v>
      </c>
      <c r="E10" s="35">
        <v>1</v>
      </c>
      <c r="G10" s="34" t="s">
        <v>62</v>
      </c>
      <c r="H10" s="32" t="s">
        <v>48</v>
      </c>
      <c r="I10" s="39">
        <f t="shared" si="2"/>
        <v>62</v>
      </c>
      <c r="J10" s="38">
        <f t="shared" si="3"/>
        <v>62</v>
      </c>
      <c r="K10" s="35">
        <v>1</v>
      </c>
      <c r="M10" s="34" t="s">
        <v>62</v>
      </c>
      <c r="N10" s="32" t="s">
        <v>48</v>
      </c>
      <c r="O10" s="39">
        <f t="shared" si="4"/>
        <v>62</v>
      </c>
      <c r="P10" s="38">
        <f t="shared" si="5"/>
        <v>62</v>
      </c>
      <c r="Q10" s="35">
        <v>1</v>
      </c>
    </row>
    <row r="11" spans="1:17" x14ac:dyDescent="0.25">
      <c r="A11" s="34" t="s">
        <v>63</v>
      </c>
      <c r="B11" s="32" t="s">
        <v>48</v>
      </c>
      <c r="C11" s="39">
        <f t="shared" si="0"/>
        <v>63</v>
      </c>
      <c r="D11" s="38">
        <f t="shared" si="1"/>
        <v>63</v>
      </c>
      <c r="E11" s="35">
        <v>1</v>
      </c>
      <c r="G11" s="34" t="s">
        <v>63</v>
      </c>
      <c r="H11" s="32" t="s">
        <v>48</v>
      </c>
      <c r="I11" s="39">
        <f t="shared" si="2"/>
        <v>63</v>
      </c>
      <c r="J11" s="38">
        <f t="shared" si="3"/>
        <v>63</v>
      </c>
      <c r="K11" s="35">
        <v>1</v>
      </c>
      <c r="M11" s="34" t="s">
        <v>63</v>
      </c>
      <c r="N11" s="32" t="s">
        <v>48</v>
      </c>
      <c r="O11" s="39">
        <f t="shared" si="4"/>
        <v>63</v>
      </c>
      <c r="P11" s="38">
        <f t="shared" si="5"/>
        <v>63</v>
      </c>
      <c r="Q11" s="35">
        <v>1</v>
      </c>
    </row>
    <row r="12" spans="1:17" x14ac:dyDescent="0.25">
      <c r="A12" s="34" t="s">
        <v>64</v>
      </c>
      <c r="B12" s="32" t="s">
        <v>48</v>
      </c>
      <c r="C12" s="39">
        <f t="shared" si="0"/>
        <v>64</v>
      </c>
      <c r="D12" s="38">
        <f t="shared" si="1"/>
        <v>66</v>
      </c>
      <c r="E12" s="35">
        <v>3</v>
      </c>
      <c r="G12" s="34" t="s">
        <v>64</v>
      </c>
      <c r="H12" s="32" t="s">
        <v>48</v>
      </c>
      <c r="I12" s="39">
        <f t="shared" si="2"/>
        <v>64</v>
      </c>
      <c r="J12" s="38">
        <f t="shared" si="3"/>
        <v>66</v>
      </c>
      <c r="K12" s="35">
        <v>3</v>
      </c>
      <c r="M12" s="34" t="s">
        <v>64</v>
      </c>
      <c r="N12" s="32" t="s">
        <v>48</v>
      </c>
      <c r="O12" s="39">
        <f t="shared" si="4"/>
        <v>64</v>
      </c>
      <c r="P12" s="38">
        <f t="shared" si="5"/>
        <v>66</v>
      </c>
      <c r="Q12" s="35">
        <v>3</v>
      </c>
    </row>
    <row r="13" spans="1:17" x14ac:dyDescent="0.25">
      <c r="A13" s="34" t="s">
        <v>65</v>
      </c>
      <c r="B13" s="32" t="s">
        <v>48</v>
      </c>
      <c r="C13" s="39">
        <f t="shared" si="0"/>
        <v>67</v>
      </c>
      <c r="D13" s="38">
        <f t="shared" si="1"/>
        <v>69</v>
      </c>
      <c r="E13" s="35">
        <v>3</v>
      </c>
      <c r="F13" s="3"/>
      <c r="G13" s="34" t="s">
        <v>65</v>
      </c>
      <c r="H13" s="32" t="s">
        <v>48</v>
      </c>
      <c r="I13" s="39">
        <f t="shared" si="2"/>
        <v>67</v>
      </c>
      <c r="J13" s="38">
        <f t="shared" si="3"/>
        <v>69</v>
      </c>
      <c r="K13" s="35">
        <v>3</v>
      </c>
      <c r="M13" s="34" t="s">
        <v>65</v>
      </c>
      <c r="N13" s="32" t="s">
        <v>48</v>
      </c>
      <c r="O13" s="39">
        <f t="shared" si="4"/>
        <v>67</v>
      </c>
      <c r="P13" s="38">
        <f t="shared" si="5"/>
        <v>69</v>
      </c>
      <c r="Q13" s="35">
        <v>3</v>
      </c>
    </row>
    <row r="14" spans="1:17" x14ac:dyDescent="0.25">
      <c r="A14" s="16" t="s">
        <v>55</v>
      </c>
      <c r="B14" s="17" t="s">
        <v>48</v>
      </c>
      <c r="C14" s="39">
        <f t="shared" si="0"/>
        <v>70</v>
      </c>
      <c r="D14" s="38">
        <f t="shared" si="1"/>
        <v>169</v>
      </c>
      <c r="E14" s="12">
        <v>100</v>
      </c>
      <c r="F14" s="3"/>
      <c r="G14" s="34" t="s">
        <v>49</v>
      </c>
      <c r="H14" s="32" t="s">
        <v>48</v>
      </c>
      <c r="I14" s="39">
        <f t="shared" si="2"/>
        <v>70</v>
      </c>
      <c r="J14" s="38">
        <f t="shared" si="3"/>
        <v>87</v>
      </c>
      <c r="K14" s="33">
        <v>18</v>
      </c>
      <c r="M14" s="16" t="s">
        <v>69</v>
      </c>
      <c r="N14" s="17" t="s">
        <v>48</v>
      </c>
      <c r="O14" s="39">
        <f t="shared" si="4"/>
        <v>70</v>
      </c>
      <c r="P14" s="38">
        <f t="shared" si="5"/>
        <v>139</v>
      </c>
      <c r="Q14" s="12">
        <v>70</v>
      </c>
    </row>
    <row r="15" spans="1:17" x14ac:dyDescent="0.25">
      <c r="A15" s="34" t="s">
        <v>66</v>
      </c>
      <c r="B15" s="32" t="s">
        <v>48</v>
      </c>
      <c r="C15" s="39">
        <f t="shared" si="0"/>
        <v>170</v>
      </c>
      <c r="D15" s="38">
        <f t="shared" si="1"/>
        <v>170</v>
      </c>
      <c r="E15" s="35">
        <v>1</v>
      </c>
      <c r="G15" s="10" t="s">
        <v>75</v>
      </c>
      <c r="H15" s="11" t="s">
        <v>48</v>
      </c>
      <c r="I15" s="39">
        <f t="shared" si="2"/>
        <v>88</v>
      </c>
      <c r="J15" s="38">
        <f t="shared" si="3"/>
        <v>120</v>
      </c>
      <c r="K15" s="18">
        <v>33</v>
      </c>
      <c r="M15" s="16" t="s">
        <v>74</v>
      </c>
      <c r="N15" s="17" t="s">
        <v>48</v>
      </c>
      <c r="O15" s="39">
        <f t="shared" si="4"/>
        <v>140</v>
      </c>
      <c r="P15" s="38">
        <f t="shared" si="5"/>
        <v>395</v>
      </c>
      <c r="Q15" s="12">
        <v>256</v>
      </c>
    </row>
    <row r="16" spans="1:17" x14ac:dyDescent="0.25">
      <c r="A16" s="34" t="s">
        <v>68</v>
      </c>
      <c r="B16" s="32" t="s">
        <v>48</v>
      </c>
      <c r="C16" s="39">
        <f t="shared" si="0"/>
        <v>171</v>
      </c>
      <c r="D16" s="38">
        <f t="shared" si="1"/>
        <v>171</v>
      </c>
      <c r="E16" s="35">
        <v>1</v>
      </c>
      <c r="G16" s="16" t="s">
        <v>4</v>
      </c>
      <c r="H16" s="17" t="s">
        <v>48</v>
      </c>
      <c r="I16" s="39">
        <f t="shared" si="2"/>
        <v>121</v>
      </c>
      <c r="J16" s="38">
        <f t="shared" si="3"/>
        <v>123</v>
      </c>
      <c r="K16" s="12">
        <v>3</v>
      </c>
      <c r="M16" s="41" t="s">
        <v>47</v>
      </c>
      <c r="N16" s="42" t="s">
        <v>48</v>
      </c>
      <c r="O16" s="43">
        <f t="shared" si="4"/>
        <v>396</v>
      </c>
      <c r="P16" s="44">
        <f t="shared" si="5"/>
        <v>410</v>
      </c>
      <c r="Q16" s="21">
        <v>15</v>
      </c>
    </row>
    <row r="17" spans="1:17" x14ac:dyDescent="0.25">
      <c r="A17" s="34" t="s">
        <v>67</v>
      </c>
      <c r="B17" s="32" t="s">
        <v>48</v>
      </c>
      <c r="C17" s="39">
        <f t="shared" si="0"/>
        <v>172</v>
      </c>
      <c r="D17" s="38">
        <f t="shared" si="1"/>
        <v>183</v>
      </c>
      <c r="E17" s="35">
        <v>12</v>
      </c>
      <c r="G17" s="16" t="s">
        <v>5</v>
      </c>
      <c r="H17" s="17" t="s">
        <v>48</v>
      </c>
      <c r="I17" s="39">
        <f t="shared" si="2"/>
        <v>124</v>
      </c>
      <c r="J17" s="38">
        <f t="shared" si="3"/>
        <v>126</v>
      </c>
      <c r="K17" s="12">
        <v>3</v>
      </c>
      <c r="M17" s="45" t="s">
        <v>79</v>
      </c>
      <c r="N17" s="45" t="s">
        <v>48</v>
      </c>
      <c r="O17" s="46">
        <f t="shared" ref="O17" si="6">+P16+1</f>
        <v>411</v>
      </c>
      <c r="P17" s="46">
        <f t="shared" ref="P17" si="7">+(O17+Q17) - 1</f>
        <v>428</v>
      </c>
      <c r="Q17" s="40">
        <v>18</v>
      </c>
    </row>
    <row r="18" spans="1:17" x14ac:dyDescent="0.25">
      <c r="A18" s="16" t="s">
        <v>56</v>
      </c>
      <c r="B18" s="17" t="s">
        <v>48</v>
      </c>
      <c r="C18" s="39">
        <f t="shared" si="0"/>
        <v>184</v>
      </c>
      <c r="D18" s="38">
        <f t="shared" si="1"/>
        <v>283</v>
      </c>
      <c r="E18" s="12">
        <v>100</v>
      </c>
      <c r="G18" s="16" t="s">
        <v>6</v>
      </c>
      <c r="H18" s="17" t="s">
        <v>48</v>
      </c>
      <c r="I18" s="39">
        <f t="shared" si="2"/>
        <v>127</v>
      </c>
      <c r="J18" s="38">
        <f t="shared" si="3"/>
        <v>141</v>
      </c>
      <c r="K18" s="12">
        <v>15</v>
      </c>
      <c r="L18" t="s">
        <v>88</v>
      </c>
      <c r="Q18" s="4">
        <f>SUM(Q3:Q17)</f>
        <v>428</v>
      </c>
    </row>
    <row r="19" spans="1:17" x14ac:dyDescent="0.25">
      <c r="A19" s="34" t="s">
        <v>57</v>
      </c>
      <c r="B19" s="32" t="s">
        <v>48</v>
      </c>
      <c r="C19" s="39">
        <f t="shared" si="0"/>
        <v>284</v>
      </c>
      <c r="D19" s="38">
        <f t="shared" si="1"/>
        <v>284</v>
      </c>
      <c r="E19" s="35">
        <v>1</v>
      </c>
      <c r="G19" s="10" t="s">
        <v>80</v>
      </c>
      <c r="H19" s="11" t="s">
        <v>48</v>
      </c>
      <c r="I19" s="39">
        <f t="shared" si="2"/>
        <v>142</v>
      </c>
      <c r="J19" s="38">
        <f t="shared" si="3"/>
        <v>174</v>
      </c>
      <c r="K19" s="18">
        <v>33</v>
      </c>
    </row>
    <row r="20" spans="1:17" x14ac:dyDescent="0.25">
      <c r="A20" s="34" t="s">
        <v>38</v>
      </c>
      <c r="B20" s="32" t="s">
        <v>48</v>
      </c>
      <c r="C20" s="39">
        <f t="shared" si="0"/>
        <v>285</v>
      </c>
      <c r="D20" s="38">
        <f t="shared" si="1"/>
        <v>285</v>
      </c>
      <c r="E20" s="35">
        <v>1</v>
      </c>
      <c r="G20" s="16" t="s">
        <v>7</v>
      </c>
      <c r="H20" s="17" t="s">
        <v>48</v>
      </c>
      <c r="I20" s="39">
        <f t="shared" si="2"/>
        <v>175</v>
      </c>
      <c r="J20" s="38">
        <f t="shared" si="3"/>
        <v>177</v>
      </c>
      <c r="K20" s="12">
        <v>3</v>
      </c>
    </row>
    <row r="21" spans="1:17" x14ac:dyDescent="0.25">
      <c r="A21" s="16" t="s">
        <v>39</v>
      </c>
      <c r="B21" s="17" t="s">
        <v>48</v>
      </c>
      <c r="C21" s="39">
        <f t="shared" si="0"/>
        <v>286</v>
      </c>
      <c r="D21" s="38">
        <f t="shared" si="1"/>
        <v>300</v>
      </c>
      <c r="E21" s="12">
        <v>15</v>
      </c>
      <c r="G21" s="16" t="s">
        <v>8</v>
      </c>
      <c r="H21" s="17" t="s">
        <v>48</v>
      </c>
      <c r="I21" s="39">
        <f t="shared" si="2"/>
        <v>178</v>
      </c>
      <c r="J21" s="38">
        <f t="shared" si="3"/>
        <v>180</v>
      </c>
      <c r="K21" s="12">
        <v>3</v>
      </c>
    </row>
    <row r="22" spans="1:17" x14ac:dyDescent="0.25">
      <c r="A22" s="36" t="s">
        <v>40</v>
      </c>
      <c r="B22" s="32" t="s">
        <v>48</v>
      </c>
      <c r="C22" s="39">
        <f t="shared" si="0"/>
        <v>301</v>
      </c>
      <c r="D22" s="38">
        <f t="shared" si="1"/>
        <v>306</v>
      </c>
      <c r="E22" s="35">
        <v>6</v>
      </c>
      <c r="G22" s="16" t="s">
        <v>9</v>
      </c>
      <c r="H22" s="17" t="s">
        <v>48</v>
      </c>
      <c r="I22" s="39">
        <f t="shared" si="2"/>
        <v>181</v>
      </c>
      <c r="J22" s="38">
        <f t="shared" si="3"/>
        <v>195</v>
      </c>
      <c r="K22" s="12">
        <v>15</v>
      </c>
      <c r="L22" t="s">
        <v>88</v>
      </c>
    </row>
    <row r="23" spans="1:17" x14ac:dyDescent="0.25">
      <c r="A23" s="16" t="s">
        <v>41</v>
      </c>
      <c r="B23" s="17" t="s">
        <v>48</v>
      </c>
      <c r="C23" s="39">
        <f t="shared" si="0"/>
        <v>307</v>
      </c>
      <c r="D23" s="38">
        <f t="shared" si="1"/>
        <v>321</v>
      </c>
      <c r="E23" s="12">
        <v>15</v>
      </c>
      <c r="G23" s="10" t="s">
        <v>81</v>
      </c>
      <c r="H23" s="11" t="s">
        <v>48</v>
      </c>
      <c r="I23" s="39">
        <f t="shared" si="2"/>
        <v>196</v>
      </c>
      <c r="J23" s="38">
        <f t="shared" si="3"/>
        <v>228</v>
      </c>
      <c r="K23" s="18">
        <v>33</v>
      </c>
    </row>
    <row r="24" spans="1:17" x14ac:dyDescent="0.25">
      <c r="A24" s="34" t="s">
        <v>58</v>
      </c>
      <c r="B24" s="32" t="s">
        <v>48</v>
      </c>
      <c r="C24" s="39">
        <f t="shared" si="0"/>
        <v>322</v>
      </c>
      <c r="D24" s="38">
        <f t="shared" si="1"/>
        <v>329</v>
      </c>
      <c r="E24" s="35">
        <v>8</v>
      </c>
      <c r="G24" s="34" t="s">
        <v>10</v>
      </c>
      <c r="H24" s="32" t="s">
        <v>48</v>
      </c>
      <c r="I24" s="39">
        <f t="shared" si="2"/>
        <v>229</v>
      </c>
      <c r="J24" s="38">
        <f t="shared" si="3"/>
        <v>232</v>
      </c>
      <c r="K24" s="33">
        <v>4</v>
      </c>
    </row>
    <row r="25" spans="1:17" x14ac:dyDescent="0.25">
      <c r="A25" s="16" t="s">
        <v>47</v>
      </c>
      <c r="B25" s="17" t="s">
        <v>48</v>
      </c>
      <c r="C25" s="39">
        <f t="shared" si="0"/>
        <v>330</v>
      </c>
      <c r="D25" s="38">
        <f t="shared" si="1"/>
        <v>344</v>
      </c>
      <c r="E25" s="12">
        <v>15</v>
      </c>
      <c r="G25" s="34" t="s">
        <v>11</v>
      </c>
      <c r="H25" s="32" t="s">
        <v>48</v>
      </c>
      <c r="I25" s="39">
        <f t="shared" si="2"/>
        <v>233</v>
      </c>
      <c r="J25" s="38">
        <f t="shared" si="3"/>
        <v>236</v>
      </c>
      <c r="K25" s="33">
        <v>4</v>
      </c>
    </row>
    <row r="26" spans="1:17" x14ac:dyDescent="0.25">
      <c r="A26" s="19" t="s">
        <v>79</v>
      </c>
      <c r="B26" s="20" t="s">
        <v>48</v>
      </c>
      <c r="C26" s="39">
        <f t="shared" si="0"/>
        <v>345</v>
      </c>
      <c r="D26" s="38">
        <f t="shared" si="1"/>
        <v>428</v>
      </c>
      <c r="E26" s="21">
        <v>84</v>
      </c>
      <c r="G26" s="34" t="s">
        <v>12</v>
      </c>
      <c r="H26" s="32" t="s">
        <v>48</v>
      </c>
      <c r="I26" s="39">
        <f t="shared" si="2"/>
        <v>237</v>
      </c>
      <c r="J26" s="38">
        <f t="shared" si="3"/>
        <v>240</v>
      </c>
      <c r="K26" s="33">
        <v>4</v>
      </c>
    </row>
    <row r="27" spans="1:17" x14ac:dyDescent="0.25">
      <c r="E27" s="5">
        <f>SUM(E3:E26)</f>
        <v>428</v>
      </c>
      <c r="G27" s="34" t="s">
        <v>13</v>
      </c>
      <c r="H27" s="32" t="s">
        <v>48</v>
      </c>
      <c r="I27" s="39">
        <f t="shared" si="2"/>
        <v>241</v>
      </c>
      <c r="J27" s="38">
        <f t="shared" si="3"/>
        <v>242</v>
      </c>
      <c r="K27" s="33">
        <v>2</v>
      </c>
    </row>
    <row r="28" spans="1:17" x14ac:dyDescent="0.25">
      <c r="G28" s="16" t="s">
        <v>76</v>
      </c>
      <c r="H28" s="17" t="s">
        <v>48</v>
      </c>
      <c r="I28" s="39">
        <f t="shared" si="2"/>
        <v>243</v>
      </c>
      <c r="J28" s="38">
        <f t="shared" si="3"/>
        <v>244</v>
      </c>
      <c r="K28" s="12">
        <v>2</v>
      </c>
    </row>
    <row r="29" spans="1:17" x14ac:dyDescent="0.25">
      <c r="G29" s="16" t="s">
        <v>50</v>
      </c>
      <c r="H29" s="17" t="s">
        <v>48</v>
      </c>
      <c r="I29" s="39">
        <f t="shared" si="2"/>
        <v>245</v>
      </c>
      <c r="J29" s="38">
        <f t="shared" si="3"/>
        <v>247</v>
      </c>
      <c r="K29" s="12">
        <v>3</v>
      </c>
    </row>
    <row r="30" spans="1:17" x14ac:dyDescent="0.25">
      <c r="G30" s="34" t="s">
        <v>15</v>
      </c>
      <c r="H30" s="32" t="s">
        <v>48</v>
      </c>
      <c r="I30" s="39">
        <f t="shared" si="2"/>
        <v>248</v>
      </c>
      <c r="J30" s="38">
        <f t="shared" si="3"/>
        <v>249</v>
      </c>
      <c r="K30" s="33">
        <v>2</v>
      </c>
    </row>
    <row r="31" spans="1:17" x14ac:dyDescent="0.25">
      <c r="G31" s="34" t="s">
        <v>16</v>
      </c>
      <c r="H31" s="32" t="s">
        <v>48</v>
      </c>
      <c r="I31" s="39">
        <f t="shared" si="2"/>
        <v>250</v>
      </c>
      <c r="J31" s="38">
        <f t="shared" si="3"/>
        <v>255</v>
      </c>
      <c r="K31" s="33">
        <v>6</v>
      </c>
      <c r="L31" t="s">
        <v>88</v>
      </c>
    </row>
    <row r="32" spans="1:17" x14ac:dyDescent="0.25">
      <c r="G32" s="10" t="s">
        <v>82</v>
      </c>
      <c r="H32" s="11" t="s">
        <v>48</v>
      </c>
      <c r="I32" s="39">
        <f t="shared" si="2"/>
        <v>256</v>
      </c>
      <c r="J32" s="38">
        <f t="shared" si="3"/>
        <v>288</v>
      </c>
      <c r="K32" s="18">
        <v>33</v>
      </c>
    </row>
    <row r="33" spans="7:12" x14ac:dyDescent="0.25">
      <c r="G33" s="34" t="s">
        <v>17</v>
      </c>
      <c r="H33" s="32" t="s">
        <v>48</v>
      </c>
      <c r="I33" s="39">
        <f t="shared" si="2"/>
        <v>289</v>
      </c>
      <c r="J33" s="38">
        <f t="shared" si="3"/>
        <v>292</v>
      </c>
      <c r="K33" s="33">
        <v>4</v>
      </c>
    </row>
    <row r="34" spans="7:12" x14ac:dyDescent="0.25">
      <c r="G34" s="34" t="s">
        <v>18</v>
      </c>
      <c r="H34" s="32" t="s">
        <v>48</v>
      </c>
      <c r="I34" s="39">
        <f t="shared" si="2"/>
        <v>293</v>
      </c>
      <c r="J34" s="38">
        <f t="shared" si="3"/>
        <v>296</v>
      </c>
      <c r="K34" s="33">
        <v>4</v>
      </c>
    </row>
    <row r="35" spans="7:12" x14ac:dyDescent="0.25">
      <c r="G35" s="34" t="s">
        <v>19</v>
      </c>
      <c r="H35" s="32" t="s">
        <v>48</v>
      </c>
      <c r="I35" s="39">
        <f t="shared" si="2"/>
        <v>297</v>
      </c>
      <c r="J35" s="38">
        <f t="shared" si="3"/>
        <v>300</v>
      </c>
      <c r="K35" s="33">
        <v>4</v>
      </c>
    </row>
    <row r="36" spans="7:12" x14ac:dyDescent="0.25">
      <c r="G36" s="34" t="s">
        <v>20</v>
      </c>
      <c r="H36" s="32" t="s">
        <v>48</v>
      </c>
      <c r="I36" s="39">
        <f t="shared" si="2"/>
        <v>301</v>
      </c>
      <c r="J36" s="38">
        <f t="shared" si="3"/>
        <v>302</v>
      </c>
      <c r="K36" s="33">
        <v>2</v>
      </c>
    </row>
    <row r="37" spans="7:12" x14ac:dyDescent="0.25">
      <c r="G37" s="16" t="s">
        <v>77</v>
      </c>
      <c r="H37" s="17" t="s">
        <v>48</v>
      </c>
      <c r="I37" s="39">
        <f t="shared" si="2"/>
        <v>303</v>
      </c>
      <c r="J37" s="38">
        <f t="shared" si="3"/>
        <v>304</v>
      </c>
      <c r="K37" s="12">
        <v>2</v>
      </c>
    </row>
    <row r="38" spans="7:12" x14ac:dyDescent="0.25">
      <c r="G38" s="16" t="s">
        <v>51</v>
      </c>
      <c r="H38" s="17" t="s">
        <v>48</v>
      </c>
      <c r="I38" s="39">
        <f t="shared" si="2"/>
        <v>305</v>
      </c>
      <c r="J38" s="38">
        <f t="shared" si="3"/>
        <v>307</v>
      </c>
      <c r="K38" s="12">
        <v>3</v>
      </c>
    </row>
    <row r="39" spans="7:12" x14ac:dyDescent="0.25">
      <c r="G39" s="34" t="s">
        <v>22</v>
      </c>
      <c r="H39" s="32" t="s">
        <v>48</v>
      </c>
      <c r="I39" s="39">
        <f t="shared" si="2"/>
        <v>308</v>
      </c>
      <c r="J39" s="38">
        <f t="shared" si="3"/>
        <v>309</v>
      </c>
      <c r="K39" s="33">
        <v>2</v>
      </c>
    </row>
    <row r="40" spans="7:12" x14ac:dyDescent="0.25">
      <c r="G40" s="34" t="s">
        <v>23</v>
      </c>
      <c r="H40" s="32" t="s">
        <v>48</v>
      </c>
      <c r="I40" s="39">
        <f t="shared" si="2"/>
        <v>310</v>
      </c>
      <c r="J40" s="38">
        <f t="shared" si="3"/>
        <v>315</v>
      </c>
      <c r="K40" s="33">
        <v>6</v>
      </c>
      <c r="L40" t="s">
        <v>88</v>
      </c>
    </row>
    <row r="41" spans="7:12" x14ac:dyDescent="0.25">
      <c r="G41" s="10" t="s">
        <v>83</v>
      </c>
      <c r="H41" s="11" t="s">
        <v>48</v>
      </c>
      <c r="I41" s="39">
        <f t="shared" si="2"/>
        <v>316</v>
      </c>
      <c r="J41" s="38">
        <f t="shared" si="3"/>
        <v>348</v>
      </c>
      <c r="K41" s="18">
        <v>33</v>
      </c>
    </row>
    <row r="42" spans="7:12" x14ac:dyDescent="0.25">
      <c r="G42" s="34" t="s">
        <v>24</v>
      </c>
      <c r="H42" s="32" t="s">
        <v>48</v>
      </c>
      <c r="I42" s="39">
        <f t="shared" si="2"/>
        <v>349</v>
      </c>
      <c r="J42" s="38">
        <f t="shared" si="3"/>
        <v>352</v>
      </c>
      <c r="K42" s="33">
        <v>4</v>
      </c>
    </row>
    <row r="43" spans="7:12" x14ac:dyDescent="0.25">
      <c r="G43" s="34" t="s">
        <v>25</v>
      </c>
      <c r="H43" s="32" t="s">
        <v>48</v>
      </c>
      <c r="I43" s="39">
        <f t="shared" si="2"/>
        <v>353</v>
      </c>
      <c r="J43" s="38">
        <f t="shared" si="3"/>
        <v>356</v>
      </c>
      <c r="K43" s="33">
        <v>4</v>
      </c>
    </row>
    <row r="44" spans="7:12" x14ac:dyDescent="0.25">
      <c r="G44" s="34" t="s">
        <v>26</v>
      </c>
      <c r="H44" s="32" t="s">
        <v>48</v>
      </c>
      <c r="I44" s="39">
        <f t="shared" si="2"/>
        <v>357</v>
      </c>
      <c r="J44" s="38">
        <f t="shared" si="3"/>
        <v>360</v>
      </c>
      <c r="K44" s="33">
        <v>4</v>
      </c>
    </row>
    <row r="45" spans="7:12" x14ac:dyDescent="0.25">
      <c r="G45" s="34" t="s">
        <v>27</v>
      </c>
      <c r="H45" s="32" t="s">
        <v>48</v>
      </c>
      <c r="I45" s="39">
        <f t="shared" si="2"/>
        <v>361</v>
      </c>
      <c r="J45" s="38">
        <f t="shared" si="3"/>
        <v>362</v>
      </c>
      <c r="K45" s="33">
        <v>2</v>
      </c>
    </row>
    <row r="46" spans="7:12" x14ac:dyDescent="0.25">
      <c r="G46" s="16" t="s">
        <v>78</v>
      </c>
      <c r="H46" s="17" t="s">
        <v>48</v>
      </c>
      <c r="I46" s="39">
        <f t="shared" si="2"/>
        <v>363</v>
      </c>
      <c r="J46" s="38">
        <f t="shared" si="3"/>
        <v>364</v>
      </c>
      <c r="K46" s="12">
        <v>2</v>
      </c>
    </row>
    <row r="47" spans="7:12" x14ac:dyDescent="0.25">
      <c r="G47" s="16" t="s">
        <v>52</v>
      </c>
      <c r="H47" s="17" t="s">
        <v>48</v>
      </c>
      <c r="I47" s="39">
        <f t="shared" si="2"/>
        <v>365</v>
      </c>
      <c r="J47" s="38">
        <f t="shared" si="3"/>
        <v>367</v>
      </c>
      <c r="K47" s="12">
        <v>3</v>
      </c>
    </row>
    <row r="48" spans="7:12" x14ac:dyDescent="0.25">
      <c r="G48" s="34" t="s">
        <v>29</v>
      </c>
      <c r="H48" s="32" t="s">
        <v>48</v>
      </c>
      <c r="I48" s="39">
        <f t="shared" si="2"/>
        <v>368</v>
      </c>
      <c r="J48" s="38">
        <f t="shared" si="3"/>
        <v>369</v>
      </c>
      <c r="K48" s="33">
        <v>2</v>
      </c>
    </row>
    <row r="49" spans="7:16" x14ac:dyDescent="0.25">
      <c r="G49" s="34" t="s">
        <v>30</v>
      </c>
      <c r="H49" s="32" t="s">
        <v>48</v>
      </c>
      <c r="I49" s="39">
        <f t="shared" si="2"/>
        <v>370</v>
      </c>
      <c r="J49" s="38">
        <f t="shared" si="3"/>
        <v>375</v>
      </c>
      <c r="K49" s="33">
        <v>6</v>
      </c>
      <c r="L49" t="s">
        <v>88</v>
      </c>
    </row>
    <row r="50" spans="7:16" x14ac:dyDescent="0.25">
      <c r="G50" s="10" t="s">
        <v>84</v>
      </c>
      <c r="H50" s="11" t="s">
        <v>48</v>
      </c>
      <c r="I50" s="39">
        <f t="shared" si="2"/>
        <v>376</v>
      </c>
      <c r="J50" s="38">
        <f t="shared" si="3"/>
        <v>413</v>
      </c>
      <c r="K50" s="18">
        <v>38</v>
      </c>
      <c r="N50" s="2"/>
      <c r="O50" s="2"/>
      <c r="P50" s="2"/>
    </row>
    <row r="51" spans="7:16" x14ac:dyDescent="0.25">
      <c r="G51" s="19" t="s">
        <v>47</v>
      </c>
      <c r="H51" s="20" t="s">
        <v>48</v>
      </c>
      <c r="I51" s="39">
        <f t="shared" si="2"/>
        <v>414</v>
      </c>
      <c r="J51" s="38">
        <f t="shared" si="3"/>
        <v>428</v>
      </c>
      <c r="K51" s="21">
        <v>15</v>
      </c>
    </row>
    <row r="52" spans="7:16" x14ac:dyDescent="0.25">
      <c r="K52" s="4">
        <f>SUM(K3:K51)</f>
        <v>428</v>
      </c>
    </row>
  </sheetData>
  <mergeCells count="3">
    <mergeCell ref="A1:E1"/>
    <mergeCell ref="G1:K1"/>
    <mergeCell ref="M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8894-497A-452B-9D8A-E989B36D48E0}">
  <sheetPr codeName="Hoja1"/>
  <dimension ref="A1:AS4"/>
  <sheetViews>
    <sheetView workbookViewId="0">
      <selection activeCell="G26" sqref="G26"/>
    </sheetView>
  </sheetViews>
  <sheetFormatPr baseColWidth="10" defaultRowHeight="15" x14ac:dyDescent="0.25"/>
  <cols>
    <col min="1" max="1" width="13.85546875" style="50" bestFit="1" customWidth="1"/>
    <col min="2" max="2" width="10" style="50" bestFit="1" customWidth="1"/>
    <col min="3" max="3" width="9.85546875" style="50" bestFit="1" customWidth="1"/>
    <col min="4" max="4" width="12.140625" style="50" bestFit="1" customWidth="1"/>
    <col min="5" max="5" width="9.140625" style="50" bestFit="1" customWidth="1"/>
    <col min="6" max="6" width="12.7109375" style="50" bestFit="1" customWidth="1"/>
    <col min="7" max="7" width="20.28515625" style="50" bestFit="1" customWidth="1"/>
    <col min="8" max="8" width="10.7109375" style="50" bestFit="1" customWidth="1"/>
    <col min="9" max="9" width="15.140625" style="50" bestFit="1" customWidth="1"/>
    <col min="10" max="10" width="14.7109375" style="50" bestFit="1" customWidth="1"/>
    <col min="11" max="11" width="16.85546875" style="51" bestFit="1" customWidth="1"/>
    <col min="12" max="12" width="8.5703125" style="50" bestFit="1" customWidth="1"/>
    <col min="13" max="13" width="17.5703125" style="50" bestFit="1" customWidth="1"/>
    <col min="14" max="14" width="16.85546875" style="51" bestFit="1" customWidth="1"/>
    <col min="15" max="15" width="19.42578125" style="51" bestFit="1" customWidth="1"/>
    <col min="16" max="16" width="11.42578125" style="52"/>
    <col min="17" max="17" width="12.42578125" style="50" bestFit="1" customWidth="1"/>
    <col min="18" max="18" width="17.42578125" style="50" bestFit="1" customWidth="1"/>
    <col min="19" max="19" width="7.42578125" style="50" bestFit="1" customWidth="1"/>
    <col min="20" max="20" width="5.5703125" style="50" bestFit="1" customWidth="1"/>
    <col min="21" max="21" width="7.140625" style="50" bestFit="1" customWidth="1"/>
    <col min="22" max="22" width="4.42578125" style="50" bestFit="1" customWidth="1"/>
    <col min="23" max="23" width="7.85546875" style="50" bestFit="1" customWidth="1"/>
    <col min="24" max="24" width="19.42578125" style="51" bestFit="1" customWidth="1"/>
    <col min="25" max="25" width="8.5703125" style="50" bestFit="1" customWidth="1"/>
    <col min="26" max="26" width="12.42578125" style="50" bestFit="1" customWidth="1"/>
    <col min="27" max="27" width="6.28515625" style="50" bestFit="1" customWidth="1"/>
    <col min="28" max="28" width="7.42578125" style="50" bestFit="1" customWidth="1"/>
    <col min="29" max="29" width="5.5703125" style="50" bestFit="1" customWidth="1"/>
    <col min="30" max="30" width="7.140625" style="50" bestFit="1" customWidth="1"/>
    <col min="31" max="31" width="4.42578125" style="50" bestFit="1" customWidth="1"/>
    <col min="32" max="32" width="7.85546875" style="50" bestFit="1" customWidth="1"/>
    <col min="33" max="33" width="19.42578125" style="51" bestFit="1" customWidth="1"/>
    <col min="34" max="34" width="8.5703125" style="50" bestFit="1" customWidth="1"/>
    <col min="35" max="35" width="12.42578125" style="50" bestFit="1" customWidth="1"/>
    <col min="36" max="36" width="6.28515625" style="50" bestFit="1" customWidth="1"/>
    <col min="37" max="37" width="7.42578125" style="50" bestFit="1" customWidth="1"/>
    <col min="38" max="38" width="5.5703125" style="50" bestFit="1" customWidth="1"/>
    <col min="39" max="39" width="7.140625" style="50" bestFit="1" customWidth="1"/>
    <col min="40" max="40" width="4.42578125" style="50" bestFit="1" customWidth="1"/>
    <col min="41" max="41" width="7.85546875" style="50" bestFit="1" customWidth="1"/>
    <col min="42" max="42" width="19.42578125" style="51" bestFit="1" customWidth="1"/>
    <col min="43" max="44" width="8.5703125" style="50" bestFit="1" customWidth="1"/>
    <col min="45" max="45" width="17.42578125" style="50" bestFit="1" customWidth="1"/>
    <col min="46" max="16384" width="11.42578125" style="50"/>
  </cols>
  <sheetData>
    <row r="1" spans="1:45" ht="18.75" x14ac:dyDescent="0.3">
      <c r="A1" s="56" t="s">
        <v>136</v>
      </c>
    </row>
    <row r="2" spans="1:45" x14ac:dyDescent="0.25">
      <c r="A2" s="53" t="s">
        <v>127</v>
      </c>
      <c r="B2" s="53" t="s">
        <v>126</v>
      </c>
      <c r="C2" s="53" t="s">
        <v>125</v>
      </c>
      <c r="D2" s="53" t="s">
        <v>124</v>
      </c>
      <c r="E2" s="53" t="s">
        <v>123</v>
      </c>
      <c r="F2" s="53" t="s">
        <v>122</v>
      </c>
      <c r="G2" s="53" t="s">
        <v>135</v>
      </c>
      <c r="H2" s="53" t="s">
        <v>134</v>
      </c>
      <c r="I2" s="53" t="s">
        <v>133</v>
      </c>
      <c r="J2" s="53" t="s">
        <v>132</v>
      </c>
      <c r="K2" s="54" t="s">
        <v>131</v>
      </c>
      <c r="L2" s="53" t="s">
        <v>130</v>
      </c>
      <c r="M2" s="53" t="s">
        <v>129</v>
      </c>
      <c r="N2" s="54" t="s">
        <v>116</v>
      </c>
      <c r="O2" s="54" t="s">
        <v>105</v>
      </c>
      <c r="P2" s="55" t="s">
        <v>128</v>
      </c>
      <c r="Q2" s="53" t="s">
        <v>103</v>
      </c>
      <c r="R2" s="53" t="s">
        <v>102</v>
      </c>
    </row>
    <row r="3" spans="1:45" ht="18.75" x14ac:dyDescent="0.3">
      <c r="A3" s="56" t="s">
        <v>137</v>
      </c>
      <c r="B3" s="53"/>
      <c r="C3" s="53"/>
      <c r="D3" s="53"/>
      <c r="E3" s="53"/>
      <c r="F3" s="53"/>
      <c r="G3" s="53"/>
      <c r="H3" s="53"/>
      <c r="I3" s="53"/>
      <c r="J3" s="53"/>
      <c r="K3" s="54"/>
      <c r="L3" s="53"/>
      <c r="M3" s="53"/>
      <c r="N3" s="54"/>
      <c r="O3" s="54"/>
      <c r="P3" s="55"/>
      <c r="Q3" s="53"/>
      <c r="R3" s="53"/>
    </row>
    <row r="4" spans="1:45" x14ac:dyDescent="0.25">
      <c r="A4" s="53" t="s">
        <v>127</v>
      </c>
      <c r="B4" s="53" t="s">
        <v>126</v>
      </c>
      <c r="C4" s="53" t="s">
        <v>125</v>
      </c>
      <c r="D4" s="53" t="s">
        <v>124</v>
      </c>
      <c r="E4" s="53" t="s">
        <v>123</v>
      </c>
      <c r="F4" s="53" t="s">
        <v>122</v>
      </c>
      <c r="G4" s="53" t="s">
        <v>121</v>
      </c>
      <c r="H4" s="53" t="s">
        <v>120</v>
      </c>
      <c r="I4" s="53" t="s">
        <v>118</v>
      </c>
      <c r="J4" s="53" t="s">
        <v>117</v>
      </c>
      <c r="K4" s="54" t="s">
        <v>116</v>
      </c>
      <c r="L4" s="53" t="s">
        <v>119</v>
      </c>
      <c r="M4" s="53" t="s">
        <v>118</v>
      </c>
      <c r="N4" s="54" t="s">
        <v>117</v>
      </c>
      <c r="O4" s="54" t="s">
        <v>116</v>
      </c>
      <c r="P4" s="55" t="s">
        <v>115</v>
      </c>
      <c r="Q4" s="53" t="s">
        <v>112</v>
      </c>
      <c r="R4" s="53" t="s">
        <v>111</v>
      </c>
      <c r="S4" s="53" t="s">
        <v>110</v>
      </c>
      <c r="T4" s="53" t="s">
        <v>109</v>
      </c>
      <c r="U4" s="53" t="s">
        <v>108</v>
      </c>
      <c r="V4" s="53" t="s">
        <v>107</v>
      </c>
      <c r="W4" s="53" t="s">
        <v>106</v>
      </c>
      <c r="X4" s="54" t="s">
        <v>105</v>
      </c>
      <c r="Y4" s="53" t="s">
        <v>114</v>
      </c>
      <c r="Z4" s="53" t="s">
        <v>112</v>
      </c>
      <c r="AA4" s="53" t="s">
        <v>111</v>
      </c>
      <c r="AB4" s="53" t="s">
        <v>110</v>
      </c>
      <c r="AC4" s="53" t="s">
        <v>109</v>
      </c>
      <c r="AD4" s="53" t="s">
        <v>108</v>
      </c>
      <c r="AE4" s="53" t="s">
        <v>107</v>
      </c>
      <c r="AF4" s="53" t="s">
        <v>106</v>
      </c>
      <c r="AG4" s="54" t="s">
        <v>105</v>
      </c>
      <c r="AH4" s="53" t="s">
        <v>113</v>
      </c>
      <c r="AI4" s="53" t="s">
        <v>112</v>
      </c>
      <c r="AJ4" s="53" t="s">
        <v>111</v>
      </c>
      <c r="AK4" s="53" t="s">
        <v>110</v>
      </c>
      <c r="AL4" s="53" t="s">
        <v>109</v>
      </c>
      <c r="AM4" s="53" t="s">
        <v>108</v>
      </c>
      <c r="AN4" s="53" t="s">
        <v>107</v>
      </c>
      <c r="AO4" s="53" t="s">
        <v>106</v>
      </c>
      <c r="AP4" s="54" t="s">
        <v>105</v>
      </c>
      <c r="AQ4" s="53" t="s">
        <v>104</v>
      </c>
      <c r="AR4" s="53" t="s">
        <v>103</v>
      </c>
      <c r="AS4" s="53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7"/>
  <sheetViews>
    <sheetView workbookViewId="0">
      <selection sqref="A1:B19"/>
    </sheetView>
  </sheetViews>
  <sheetFormatPr baseColWidth="10" defaultRowHeight="15" x14ac:dyDescent="0.25"/>
  <cols>
    <col min="1" max="1" width="27.7109375" bestFit="1" customWidth="1"/>
    <col min="10" max="10" width="28" bestFit="1" customWidth="1"/>
    <col min="11" max="11" width="17.7109375" customWidth="1"/>
  </cols>
  <sheetData>
    <row r="1" spans="1:17" x14ac:dyDescent="0.25">
      <c r="A1" t="s">
        <v>90</v>
      </c>
      <c r="B1" t="s">
        <v>91</v>
      </c>
      <c r="C1" t="s">
        <v>92</v>
      </c>
      <c r="D1" s="47" t="s">
        <v>93</v>
      </c>
      <c r="E1" t="s">
        <v>94</v>
      </c>
      <c r="J1" t="s">
        <v>90</v>
      </c>
      <c r="K1" t="s">
        <v>91</v>
      </c>
      <c r="L1" t="s">
        <v>92</v>
      </c>
      <c r="M1" s="47" t="s">
        <v>93</v>
      </c>
      <c r="N1" t="s">
        <v>94</v>
      </c>
      <c r="O1" t="s">
        <v>98</v>
      </c>
      <c r="P1" t="s">
        <v>99</v>
      </c>
      <c r="Q1" t="s">
        <v>100</v>
      </c>
    </row>
    <row r="2" spans="1:17" x14ac:dyDescent="0.25">
      <c r="A2" t="s">
        <v>45</v>
      </c>
      <c r="B2" t="s">
        <v>89</v>
      </c>
      <c r="D2">
        <v>0</v>
      </c>
      <c r="E2">
        <v>2</v>
      </c>
      <c r="J2" s="22" t="s">
        <v>45</v>
      </c>
      <c r="K2" s="23" t="s">
        <v>89</v>
      </c>
      <c r="M2">
        <v>0</v>
      </c>
      <c r="N2">
        <v>2</v>
      </c>
    </row>
    <row r="3" spans="1:17" x14ac:dyDescent="0.25">
      <c r="A3" t="s">
        <v>0</v>
      </c>
      <c r="B3" t="s">
        <v>89</v>
      </c>
      <c r="D3">
        <f>+D2+E2</f>
        <v>2</v>
      </c>
      <c r="E3">
        <v>3</v>
      </c>
      <c r="J3" s="7" t="s">
        <v>0</v>
      </c>
      <c r="K3" s="23" t="s">
        <v>89</v>
      </c>
      <c r="M3">
        <f>+M2+N2</f>
        <v>2</v>
      </c>
      <c r="N3">
        <v>3</v>
      </c>
    </row>
    <row r="4" spans="1:17" x14ac:dyDescent="0.25">
      <c r="A4" t="s">
        <v>1</v>
      </c>
      <c r="B4" t="s">
        <v>89</v>
      </c>
      <c r="D4">
        <f t="shared" ref="D4:D20" si="0">+D3+E3</f>
        <v>5</v>
      </c>
      <c r="E4">
        <v>25</v>
      </c>
      <c r="J4" s="16" t="s">
        <v>1</v>
      </c>
      <c r="K4" s="23" t="s">
        <v>89</v>
      </c>
      <c r="M4">
        <f t="shared" ref="M4:M47" si="1">+M3+N3</f>
        <v>5</v>
      </c>
      <c r="N4">
        <v>25</v>
      </c>
    </row>
    <row r="5" spans="1:17" x14ac:dyDescent="0.25">
      <c r="A5" t="s">
        <v>46</v>
      </c>
      <c r="B5" t="s">
        <v>96</v>
      </c>
      <c r="D5">
        <f t="shared" si="0"/>
        <v>30</v>
      </c>
      <c r="E5">
        <v>1</v>
      </c>
      <c r="J5" s="7" t="s">
        <v>46</v>
      </c>
      <c r="K5" s="23" t="s">
        <v>96</v>
      </c>
      <c r="M5">
        <f t="shared" si="1"/>
        <v>30</v>
      </c>
      <c r="N5">
        <v>1</v>
      </c>
    </row>
    <row r="6" spans="1:17" x14ac:dyDescent="0.25">
      <c r="A6" t="s">
        <v>2</v>
      </c>
      <c r="B6" t="s">
        <v>96</v>
      </c>
      <c r="D6">
        <f t="shared" si="0"/>
        <v>31</v>
      </c>
      <c r="E6">
        <v>3</v>
      </c>
      <c r="J6" s="15" t="s">
        <v>2</v>
      </c>
      <c r="K6" s="23" t="s">
        <v>96</v>
      </c>
      <c r="M6">
        <f t="shared" si="1"/>
        <v>31</v>
      </c>
      <c r="N6">
        <v>3</v>
      </c>
    </row>
    <row r="7" spans="1:17" x14ac:dyDescent="0.25">
      <c r="A7" t="s">
        <v>3</v>
      </c>
      <c r="B7" t="s">
        <v>96</v>
      </c>
      <c r="D7">
        <f t="shared" si="0"/>
        <v>34</v>
      </c>
      <c r="E7">
        <v>3</v>
      </c>
      <c r="J7" s="15" t="s">
        <v>3</v>
      </c>
      <c r="K7" s="23" t="s">
        <v>96</v>
      </c>
      <c r="M7">
        <f t="shared" si="1"/>
        <v>34</v>
      </c>
      <c r="N7">
        <v>3</v>
      </c>
    </row>
    <row r="8" spans="1:17" x14ac:dyDescent="0.25">
      <c r="A8" t="s">
        <v>32</v>
      </c>
      <c r="B8" t="s">
        <v>89</v>
      </c>
      <c r="D8">
        <f t="shared" si="0"/>
        <v>37</v>
      </c>
      <c r="E8">
        <v>100</v>
      </c>
      <c r="J8" s="15" t="s">
        <v>49</v>
      </c>
      <c r="K8" s="23" t="s">
        <v>89</v>
      </c>
      <c r="M8">
        <f t="shared" si="1"/>
        <v>37</v>
      </c>
      <c r="N8">
        <v>18</v>
      </c>
    </row>
    <row r="9" spans="1:17" x14ac:dyDescent="0.25">
      <c r="A9" t="s">
        <v>33</v>
      </c>
      <c r="B9" t="s">
        <v>89</v>
      </c>
      <c r="D9">
        <f t="shared" si="0"/>
        <v>137</v>
      </c>
      <c r="E9">
        <v>1</v>
      </c>
      <c r="J9" s="10" t="s">
        <v>75</v>
      </c>
      <c r="K9" s="23" t="s">
        <v>89</v>
      </c>
      <c r="M9">
        <f t="shared" si="1"/>
        <v>55</v>
      </c>
      <c r="N9">
        <v>22</v>
      </c>
    </row>
    <row r="10" spans="1:17" x14ac:dyDescent="0.25">
      <c r="A10" t="s">
        <v>34</v>
      </c>
      <c r="B10" t="s">
        <v>89</v>
      </c>
      <c r="D10">
        <f t="shared" si="0"/>
        <v>138</v>
      </c>
      <c r="E10">
        <v>1</v>
      </c>
      <c r="J10" s="10" t="s">
        <v>4</v>
      </c>
      <c r="K10" s="23" t="s">
        <v>96</v>
      </c>
      <c r="M10">
        <f t="shared" si="1"/>
        <v>77</v>
      </c>
      <c r="N10">
        <v>3</v>
      </c>
    </row>
    <row r="11" spans="1:17" x14ac:dyDescent="0.25">
      <c r="A11" t="s">
        <v>35</v>
      </c>
      <c r="B11" t="s">
        <v>89</v>
      </c>
      <c r="D11">
        <f t="shared" si="0"/>
        <v>139</v>
      </c>
      <c r="E11">
        <v>12</v>
      </c>
      <c r="J11" s="10" t="s">
        <v>5</v>
      </c>
      <c r="K11" s="23" t="s">
        <v>96</v>
      </c>
      <c r="M11">
        <f t="shared" si="1"/>
        <v>80</v>
      </c>
      <c r="N11">
        <v>3</v>
      </c>
    </row>
    <row r="12" spans="1:17" x14ac:dyDescent="0.25">
      <c r="A12" t="s">
        <v>36</v>
      </c>
      <c r="B12" t="s">
        <v>89</v>
      </c>
      <c r="D12">
        <f t="shared" si="0"/>
        <v>151</v>
      </c>
      <c r="E12">
        <v>100</v>
      </c>
      <c r="J12" s="10" t="s">
        <v>6</v>
      </c>
      <c r="K12" s="23" t="s">
        <v>97</v>
      </c>
      <c r="M12">
        <f t="shared" si="1"/>
        <v>83</v>
      </c>
      <c r="N12">
        <v>15</v>
      </c>
      <c r="Q12">
        <v>2</v>
      </c>
    </row>
    <row r="13" spans="1:17" x14ac:dyDescent="0.25">
      <c r="A13" t="s">
        <v>37</v>
      </c>
      <c r="B13" t="s">
        <v>89</v>
      </c>
      <c r="D13">
        <f t="shared" si="0"/>
        <v>251</v>
      </c>
      <c r="E13">
        <v>1</v>
      </c>
      <c r="J13" s="10" t="s">
        <v>80</v>
      </c>
      <c r="K13" s="23" t="s">
        <v>89</v>
      </c>
      <c r="M13">
        <f t="shared" si="1"/>
        <v>98</v>
      </c>
      <c r="N13">
        <v>22</v>
      </c>
    </row>
    <row r="14" spans="1:17" x14ac:dyDescent="0.25">
      <c r="A14" t="s">
        <v>38</v>
      </c>
      <c r="B14" t="s">
        <v>89</v>
      </c>
      <c r="D14">
        <f t="shared" si="0"/>
        <v>252</v>
      </c>
      <c r="E14">
        <v>1</v>
      </c>
      <c r="J14" s="10" t="s">
        <v>7</v>
      </c>
      <c r="K14" s="23" t="s">
        <v>96</v>
      </c>
      <c r="M14">
        <f t="shared" si="1"/>
        <v>120</v>
      </c>
      <c r="N14">
        <v>3</v>
      </c>
    </row>
    <row r="15" spans="1:17" x14ac:dyDescent="0.25">
      <c r="A15" t="s">
        <v>39</v>
      </c>
      <c r="B15" t="s">
        <v>97</v>
      </c>
      <c r="D15">
        <f t="shared" si="0"/>
        <v>253</v>
      </c>
      <c r="E15">
        <v>15</v>
      </c>
      <c r="J15" s="10" t="s">
        <v>8</v>
      </c>
      <c r="K15" s="23" t="s">
        <v>96</v>
      </c>
      <c r="M15">
        <f t="shared" si="1"/>
        <v>123</v>
      </c>
      <c r="N15">
        <v>3</v>
      </c>
    </row>
    <row r="16" spans="1:17" x14ac:dyDescent="0.25">
      <c r="A16" t="s">
        <v>40</v>
      </c>
      <c r="B16" t="s">
        <v>97</v>
      </c>
      <c r="D16">
        <f t="shared" si="0"/>
        <v>268</v>
      </c>
      <c r="E16">
        <v>6</v>
      </c>
      <c r="J16" s="10" t="s">
        <v>9</v>
      </c>
      <c r="K16" s="23" t="s">
        <v>97</v>
      </c>
      <c r="M16">
        <f t="shared" si="1"/>
        <v>126</v>
      </c>
      <c r="N16">
        <v>15</v>
      </c>
      <c r="Q16">
        <v>2</v>
      </c>
    </row>
    <row r="17" spans="1:17" x14ac:dyDescent="0.25">
      <c r="A17" t="s">
        <v>41</v>
      </c>
      <c r="B17" t="s">
        <v>97</v>
      </c>
      <c r="D17">
        <f t="shared" si="0"/>
        <v>274</v>
      </c>
      <c r="E17">
        <v>15</v>
      </c>
      <c r="J17" s="10" t="s">
        <v>81</v>
      </c>
      <c r="K17" s="23" t="s">
        <v>89</v>
      </c>
      <c r="M17">
        <f t="shared" si="1"/>
        <v>141</v>
      </c>
      <c r="N17">
        <v>22</v>
      </c>
    </row>
    <row r="18" spans="1:17" x14ac:dyDescent="0.25">
      <c r="A18" t="s">
        <v>31</v>
      </c>
      <c r="B18" t="s">
        <v>89</v>
      </c>
      <c r="D18">
        <f t="shared" si="0"/>
        <v>289</v>
      </c>
      <c r="E18">
        <v>8</v>
      </c>
      <c r="J18" s="15" t="s">
        <v>10</v>
      </c>
      <c r="K18" s="23" t="s">
        <v>96</v>
      </c>
      <c r="M18">
        <f t="shared" si="1"/>
        <v>163</v>
      </c>
      <c r="N18">
        <v>4</v>
      </c>
    </row>
    <row r="19" spans="1:17" x14ac:dyDescent="0.25">
      <c r="A19" t="s">
        <v>47</v>
      </c>
      <c r="B19" t="s">
        <v>89</v>
      </c>
      <c r="D19">
        <f t="shared" si="0"/>
        <v>297</v>
      </c>
      <c r="E19">
        <v>15</v>
      </c>
      <c r="J19" s="15" t="s">
        <v>11</v>
      </c>
      <c r="K19" s="23" t="s">
        <v>96</v>
      </c>
      <c r="M19">
        <f t="shared" si="1"/>
        <v>167</v>
      </c>
      <c r="N19">
        <v>4</v>
      </c>
    </row>
    <row r="20" spans="1:17" x14ac:dyDescent="0.25">
      <c r="D20">
        <f t="shared" si="0"/>
        <v>312</v>
      </c>
      <c r="J20" s="15" t="s">
        <v>12</v>
      </c>
      <c r="K20" s="23" t="s">
        <v>96</v>
      </c>
      <c r="M20">
        <f t="shared" si="1"/>
        <v>171</v>
      </c>
      <c r="N20">
        <v>4</v>
      </c>
    </row>
    <row r="21" spans="1:17" ht="15.75" x14ac:dyDescent="0.25">
      <c r="A21" s="48" t="s">
        <v>95</v>
      </c>
      <c r="B21" s="48"/>
      <c r="C21" s="48"/>
      <c r="D21" s="48"/>
      <c r="E21" s="48"/>
      <c r="F21" s="48"/>
      <c r="G21" s="48"/>
      <c r="H21" s="48"/>
      <c r="I21" s="47"/>
      <c r="J21" s="15" t="s">
        <v>13</v>
      </c>
      <c r="K21" s="23" t="s">
        <v>96</v>
      </c>
      <c r="M21">
        <f t="shared" si="1"/>
        <v>175</v>
      </c>
      <c r="N21">
        <v>2</v>
      </c>
    </row>
    <row r="22" spans="1:17" x14ac:dyDescent="0.25">
      <c r="A22" s="49" t="s">
        <v>101</v>
      </c>
      <c r="B22" s="49"/>
      <c r="C22" s="49"/>
      <c r="D22" s="49"/>
      <c r="E22" s="49"/>
      <c r="F22" s="47"/>
      <c r="G22" s="47"/>
      <c r="H22" s="47"/>
      <c r="I22" s="47"/>
      <c r="J22" s="15" t="s">
        <v>14</v>
      </c>
      <c r="K22" s="23" t="s">
        <v>89</v>
      </c>
      <c r="M22">
        <f t="shared" si="1"/>
        <v>177</v>
      </c>
      <c r="N22">
        <v>1</v>
      </c>
    </row>
    <row r="23" spans="1:17" x14ac:dyDescent="0.25">
      <c r="J23" s="10" t="s">
        <v>50</v>
      </c>
      <c r="K23" s="23" t="s">
        <v>96</v>
      </c>
      <c r="M23">
        <f t="shared" si="1"/>
        <v>178</v>
      </c>
      <c r="N23">
        <v>3</v>
      </c>
    </row>
    <row r="24" spans="1:17" x14ac:dyDescent="0.25">
      <c r="J24" s="15" t="s">
        <v>15</v>
      </c>
      <c r="K24" s="23" t="s">
        <v>96</v>
      </c>
      <c r="M24">
        <f t="shared" si="1"/>
        <v>181</v>
      </c>
      <c r="N24">
        <v>2</v>
      </c>
    </row>
    <row r="25" spans="1:17" x14ac:dyDescent="0.25">
      <c r="J25" s="15" t="s">
        <v>16</v>
      </c>
      <c r="K25" s="23" t="s">
        <v>97</v>
      </c>
      <c r="M25">
        <f t="shared" si="1"/>
        <v>183</v>
      </c>
      <c r="N25">
        <v>6</v>
      </c>
      <c r="Q25">
        <v>2</v>
      </c>
    </row>
    <row r="26" spans="1:17" x14ac:dyDescent="0.25">
      <c r="J26" s="10" t="s">
        <v>82</v>
      </c>
      <c r="K26" s="23" t="s">
        <v>89</v>
      </c>
      <c r="M26">
        <f t="shared" si="1"/>
        <v>189</v>
      </c>
      <c r="N26">
        <v>22</v>
      </c>
    </row>
    <row r="27" spans="1:17" x14ac:dyDescent="0.25">
      <c r="J27" s="15" t="s">
        <v>17</v>
      </c>
      <c r="K27" s="23" t="s">
        <v>96</v>
      </c>
      <c r="M27">
        <f t="shared" si="1"/>
        <v>211</v>
      </c>
      <c r="N27">
        <v>4</v>
      </c>
    </row>
    <row r="28" spans="1:17" x14ac:dyDescent="0.25">
      <c r="J28" s="15" t="s">
        <v>18</v>
      </c>
      <c r="K28" s="23" t="s">
        <v>96</v>
      </c>
      <c r="M28">
        <f t="shared" si="1"/>
        <v>215</v>
      </c>
      <c r="N28">
        <v>4</v>
      </c>
    </row>
    <row r="29" spans="1:17" x14ac:dyDescent="0.25">
      <c r="J29" s="15" t="s">
        <v>19</v>
      </c>
      <c r="K29" s="23" t="s">
        <v>96</v>
      </c>
      <c r="M29">
        <f t="shared" si="1"/>
        <v>219</v>
      </c>
      <c r="N29">
        <v>4</v>
      </c>
    </row>
    <row r="30" spans="1:17" x14ac:dyDescent="0.25">
      <c r="J30" s="15" t="s">
        <v>20</v>
      </c>
      <c r="K30" s="23" t="s">
        <v>96</v>
      </c>
      <c r="M30">
        <f t="shared" si="1"/>
        <v>223</v>
      </c>
      <c r="N30">
        <v>2</v>
      </c>
    </row>
    <row r="31" spans="1:17" x14ac:dyDescent="0.25">
      <c r="J31" s="15" t="s">
        <v>21</v>
      </c>
      <c r="K31" s="23" t="s">
        <v>89</v>
      </c>
      <c r="M31">
        <f t="shared" si="1"/>
        <v>225</v>
      </c>
      <c r="N31">
        <v>1</v>
      </c>
    </row>
    <row r="32" spans="1:17" x14ac:dyDescent="0.25">
      <c r="J32" s="10" t="s">
        <v>51</v>
      </c>
      <c r="K32" s="23" t="s">
        <v>96</v>
      </c>
      <c r="M32">
        <f t="shared" si="1"/>
        <v>226</v>
      </c>
      <c r="N32">
        <v>3</v>
      </c>
    </row>
    <row r="33" spans="10:17" x14ac:dyDescent="0.25">
      <c r="J33" s="15" t="s">
        <v>22</v>
      </c>
      <c r="K33" s="23" t="s">
        <v>96</v>
      </c>
      <c r="M33">
        <f t="shared" si="1"/>
        <v>229</v>
      </c>
      <c r="N33">
        <v>2</v>
      </c>
    </row>
    <row r="34" spans="10:17" x14ac:dyDescent="0.25">
      <c r="J34" s="15" t="s">
        <v>23</v>
      </c>
      <c r="K34" s="23" t="s">
        <v>97</v>
      </c>
      <c r="M34">
        <f t="shared" si="1"/>
        <v>231</v>
      </c>
      <c r="N34">
        <v>6</v>
      </c>
      <c r="Q34">
        <v>2</v>
      </c>
    </row>
    <row r="35" spans="10:17" x14ac:dyDescent="0.25">
      <c r="J35" s="10" t="s">
        <v>83</v>
      </c>
      <c r="K35" s="23" t="s">
        <v>89</v>
      </c>
      <c r="M35">
        <f t="shared" si="1"/>
        <v>237</v>
      </c>
      <c r="N35">
        <v>22</v>
      </c>
    </row>
    <row r="36" spans="10:17" x14ac:dyDescent="0.25">
      <c r="J36" s="15" t="s">
        <v>24</v>
      </c>
      <c r="K36" s="23" t="s">
        <v>96</v>
      </c>
      <c r="M36">
        <f t="shared" si="1"/>
        <v>259</v>
      </c>
      <c r="N36">
        <v>4</v>
      </c>
    </row>
    <row r="37" spans="10:17" x14ac:dyDescent="0.25">
      <c r="J37" s="15" t="s">
        <v>25</v>
      </c>
      <c r="K37" s="23" t="s">
        <v>96</v>
      </c>
      <c r="M37">
        <f t="shared" si="1"/>
        <v>263</v>
      </c>
      <c r="N37">
        <v>4</v>
      </c>
    </row>
    <row r="38" spans="10:17" x14ac:dyDescent="0.25">
      <c r="J38" s="15" t="s">
        <v>26</v>
      </c>
      <c r="K38" s="23" t="s">
        <v>96</v>
      </c>
      <c r="M38">
        <f t="shared" si="1"/>
        <v>267</v>
      </c>
      <c r="N38">
        <v>4</v>
      </c>
    </row>
    <row r="39" spans="10:17" x14ac:dyDescent="0.25">
      <c r="J39" s="15" t="s">
        <v>27</v>
      </c>
      <c r="K39" s="23" t="s">
        <v>96</v>
      </c>
      <c r="M39">
        <f t="shared" si="1"/>
        <v>271</v>
      </c>
      <c r="N39">
        <v>2</v>
      </c>
    </row>
    <row r="40" spans="10:17" x14ac:dyDescent="0.25">
      <c r="J40" s="15" t="s">
        <v>28</v>
      </c>
      <c r="K40" s="23" t="s">
        <v>89</v>
      </c>
      <c r="M40">
        <f t="shared" si="1"/>
        <v>273</v>
      </c>
      <c r="N40">
        <v>1</v>
      </c>
    </row>
    <row r="41" spans="10:17" x14ac:dyDescent="0.25">
      <c r="J41" s="10" t="s">
        <v>52</v>
      </c>
      <c r="K41" s="23" t="s">
        <v>96</v>
      </c>
      <c r="M41">
        <f t="shared" si="1"/>
        <v>274</v>
      </c>
      <c r="N41">
        <v>3</v>
      </c>
    </row>
    <row r="42" spans="10:17" x14ac:dyDescent="0.25">
      <c r="J42" s="15" t="s">
        <v>29</v>
      </c>
      <c r="K42" s="23" t="s">
        <v>96</v>
      </c>
      <c r="M42">
        <f t="shared" si="1"/>
        <v>277</v>
      </c>
      <c r="N42">
        <v>2</v>
      </c>
    </row>
    <row r="43" spans="10:17" x14ac:dyDescent="0.25">
      <c r="J43" s="15" t="s">
        <v>30</v>
      </c>
      <c r="K43" s="23" t="s">
        <v>97</v>
      </c>
      <c r="M43">
        <f t="shared" si="1"/>
        <v>279</v>
      </c>
      <c r="N43">
        <v>6</v>
      </c>
      <c r="Q43">
        <v>2</v>
      </c>
    </row>
    <row r="44" spans="10:17" x14ac:dyDescent="0.25">
      <c r="J44" s="10" t="s">
        <v>84</v>
      </c>
      <c r="K44" s="23" t="s">
        <v>89</v>
      </c>
      <c r="M44">
        <f t="shared" si="1"/>
        <v>285</v>
      </c>
      <c r="N44">
        <v>22</v>
      </c>
    </row>
    <row r="45" spans="10:17" x14ac:dyDescent="0.25">
      <c r="J45" s="15" t="s">
        <v>31</v>
      </c>
      <c r="K45" s="23" t="s">
        <v>89</v>
      </c>
      <c r="M45">
        <f t="shared" si="1"/>
        <v>307</v>
      </c>
      <c r="N45">
        <v>8</v>
      </c>
    </row>
    <row r="46" spans="10:17" x14ac:dyDescent="0.25">
      <c r="J46" s="19" t="s">
        <v>47</v>
      </c>
      <c r="K46" s="23" t="s">
        <v>89</v>
      </c>
      <c r="M46">
        <f t="shared" si="1"/>
        <v>315</v>
      </c>
      <c r="N46">
        <v>15</v>
      </c>
    </row>
    <row r="47" spans="10:17" x14ac:dyDescent="0.25">
      <c r="M47">
        <f t="shared" si="1"/>
        <v>330</v>
      </c>
    </row>
  </sheetData>
  <autoFilter ref="J1:N47" xr:uid="{00000000-0009-0000-0000-000002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7"/>
  <sheetViews>
    <sheetView workbookViewId="0">
      <selection activeCell="C17" sqref="C17"/>
    </sheetView>
  </sheetViews>
  <sheetFormatPr baseColWidth="10" defaultRowHeight="15" x14ac:dyDescent="0.25"/>
  <cols>
    <col min="1" max="1" width="27.7109375" bestFit="1" customWidth="1"/>
    <col min="9" max="9" width="28" bestFit="1" customWidth="1"/>
    <col min="10" max="10" width="17.7109375" customWidth="1"/>
  </cols>
  <sheetData>
    <row r="1" spans="1:16" x14ac:dyDescent="0.25">
      <c r="A1" t="s">
        <v>90</v>
      </c>
      <c r="B1" t="s">
        <v>91</v>
      </c>
      <c r="C1" s="47" t="s">
        <v>93</v>
      </c>
      <c r="D1" t="s">
        <v>94</v>
      </c>
      <c r="I1" t="s">
        <v>90</v>
      </c>
      <c r="J1" t="s">
        <v>91</v>
      </c>
      <c r="K1" t="s">
        <v>92</v>
      </c>
      <c r="L1" s="47" t="s">
        <v>93</v>
      </c>
      <c r="M1" t="s">
        <v>94</v>
      </c>
      <c r="N1" t="s">
        <v>98</v>
      </c>
      <c r="O1" t="s">
        <v>99</v>
      </c>
      <c r="P1" t="s">
        <v>100</v>
      </c>
    </row>
    <row r="2" spans="1:16" x14ac:dyDescent="0.25">
      <c r="A2" t="s">
        <v>45</v>
      </c>
      <c r="B2" t="s">
        <v>89</v>
      </c>
      <c r="C2">
        <v>1</v>
      </c>
      <c r="D2">
        <v>2</v>
      </c>
      <c r="I2" s="22" t="s">
        <v>45</v>
      </c>
      <c r="J2" s="23" t="s">
        <v>89</v>
      </c>
      <c r="L2">
        <v>0</v>
      </c>
      <c r="M2">
        <v>2</v>
      </c>
    </row>
    <row r="3" spans="1:16" x14ac:dyDescent="0.25">
      <c r="A3" t="s">
        <v>0</v>
      </c>
      <c r="B3" t="s">
        <v>89</v>
      </c>
      <c r="C3">
        <f>+C2+D2</f>
        <v>3</v>
      </c>
      <c r="D3">
        <v>3</v>
      </c>
      <c r="I3" s="7" t="s">
        <v>0</v>
      </c>
      <c r="J3" s="23" t="s">
        <v>89</v>
      </c>
      <c r="L3">
        <f>+L2+M2</f>
        <v>2</v>
      </c>
      <c r="M3">
        <v>3</v>
      </c>
    </row>
    <row r="4" spans="1:16" x14ac:dyDescent="0.25">
      <c r="A4" t="s">
        <v>1</v>
      </c>
      <c r="B4" t="s">
        <v>89</v>
      </c>
      <c r="C4">
        <f t="shared" ref="C4:C20" si="0">+C3+D3</f>
        <v>6</v>
      </c>
      <c r="D4">
        <v>25</v>
      </c>
      <c r="I4" s="16" t="s">
        <v>1</v>
      </c>
      <c r="J4" s="23" t="s">
        <v>89</v>
      </c>
      <c r="L4">
        <f t="shared" ref="L4:L47" si="1">+L3+M3</f>
        <v>5</v>
      </c>
      <c r="M4">
        <v>25</v>
      </c>
    </row>
    <row r="5" spans="1:16" x14ac:dyDescent="0.25">
      <c r="A5" t="s">
        <v>46</v>
      </c>
      <c r="B5" t="s">
        <v>96</v>
      </c>
      <c r="C5">
        <f t="shared" si="0"/>
        <v>31</v>
      </c>
      <c r="D5">
        <v>1</v>
      </c>
      <c r="I5" s="7" t="s">
        <v>46</v>
      </c>
      <c r="J5" s="23" t="s">
        <v>96</v>
      </c>
      <c r="L5">
        <f t="shared" si="1"/>
        <v>30</v>
      </c>
      <c r="M5">
        <v>1</v>
      </c>
    </row>
    <row r="6" spans="1:16" x14ac:dyDescent="0.25">
      <c r="A6" t="s">
        <v>2</v>
      </c>
      <c r="B6" t="s">
        <v>96</v>
      </c>
      <c r="C6">
        <f t="shared" si="0"/>
        <v>32</v>
      </c>
      <c r="D6">
        <v>3</v>
      </c>
      <c r="I6" s="15" t="s">
        <v>2</v>
      </c>
      <c r="J6" s="23" t="s">
        <v>96</v>
      </c>
      <c r="L6">
        <f t="shared" si="1"/>
        <v>31</v>
      </c>
      <c r="M6">
        <v>3</v>
      </c>
    </row>
    <row r="7" spans="1:16" x14ac:dyDescent="0.25">
      <c r="A7" t="s">
        <v>3</v>
      </c>
      <c r="B7" t="s">
        <v>96</v>
      </c>
      <c r="C7">
        <f t="shared" si="0"/>
        <v>35</v>
      </c>
      <c r="D7">
        <v>3</v>
      </c>
      <c r="I7" s="15" t="s">
        <v>3</v>
      </c>
      <c r="J7" s="23" t="s">
        <v>96</v>
      </c>
      <c r="L7">
        <f t="shared" si="1"/>
        <v>34</v>
      </c>
      <c r="M7">
        <v>3</v>
      </c>
    </row>
    <row r="8" spans="1:16" x14ac:dyDescent="0.25">
      <c r="A8" t="s">
        <v>32</v>
      </c>
      <c r="B8" t="s">
        <v>89</v>
      </c>
      <c r="C8">
        <f t="shared" si="0"/>
        <v>38</v>
      </c>
      <c r="D8">
        <v>100</v>
      </c>
      <c r="I8" s="15" t="s">
        <v>49</v>
      </c>
      <c r="J8" s="23" t="s">
        <v>89</v>
      </c>
      <c r="L8">
        <f t="shared" si="1"/>
        <v>37</v>
      </c>
      <c r="M8">
        <v>18</v>
      </c>
    </row>
    <row r="9" spans="1:16" x14ac:dyDescent="0.25">
      <c r="A9" t="s">
        <v>33</v>
      </c>
      <c r="B9" t="s">
        <v>89</v>
      </c>
      <c r="C9">
        <f t="shared" si="0"/>
        <v>138</v>
      </c>
      <c r="D9">
        <v>1</v>
      </c>
      <c r="I9" s="10" t="s">
        <v>75</v>
      </c>
      <c r="J9" s="23" t="s">
        <v>89</v>
      </c>
      <c r="L9">
        <f t="shared" si="1"/>
        <v>55</v>
      </c>
      <c r="M9">
        <v>22</v>
      </c>
    </row>
    <row r="10" spans="1:16" x14ac:dyDescent="0.25">
      <c r="A10" t="s">
        <v>34</v>
      </c>
      <c r="B10" t="s">
        <v>89</v>
      </c>
      <c r="C10">
        <f t="shared" si="0"/>
        <v>139</v>
      </c>
      <c r="D10">
        <v>1</v>
      </c>
      <c r="I10" s="10" t="s">
        <v>4</v>
      </c>
      <c r="J10" s="23" t="s">
        <v>96</v>
      </c>
      <c r="L10">
        <f t="shared" si="1"/>
        <v>77</v>
      </c>
      <c r="M10">
        <v>3</v>
      </c>
    </row>
    <row r="11" spans="1:16" x14ac:dyDescent="0.25">
      <c r="A11" t="s">
        <v>35</v>
      </c>
      <c r="B11" t="s">
        <v>89</v>
      </c>
      <c r="C11">
        <f t="shared" si="0"/>
        <v>140</v>
      </c>
      <c r="D11">
        <v>12</v>
      </c>
      <c r="I11" s="10" t="s">
        <v>5</v>
      </c>
      <c r="J11" s="23" t="s">
        <v>96</v>
      </c>
      <c r="L11">
        <f t="shared" si="1"/>
        <v>80</v>
      </c>
      <c r="M11">
        <v>3</v>
      </c>
    </row>
    <row r="12" spans="1:16" x14ac:dyDescent="0.25">
      <c r="A12" t="s">
        <v>36</v>
      </c>
      <c r="B12" t="s">
        <v>89</v>
      </c>
      <c r="C12">
        <f t="shared" si="0"/>
        <v>152</v>
      </c>
      <c r="D12">
        <v>100</v>
      </c>
      <c r="I12" s="10" t="s">
        <v>6</v>
      </c>
      <c r="J12" s="23" t="s">
        <v>97</v>
      </c>
      <c r="L12">
        <f t="shared" si="1"/>
        <v>83</v>
      </c>
      <c r="M12">
        <v>15</v>
      </c>
      <c r="P12">
        <v>2</v>
      </c>
    </row>
    <row r="13" spans="1:16" x14ac:dyDescent="0.25">
      <c r="A13" t="s">
        <v>37</v>
      </c>
      <c r="B13" t="s">
        <v>89</v>
      </c>
      <c r="C13">
        <f t="shared" si="0"/>
        <v>252</v>
      </c>
      <c r="D13">
        <v>1</v>
      </c>
      <c r="I13" s="10" t="s">
        <v>80</v>
      </c>
      <c r="J13" s="23" t="s">
        <v>89</v>
      </c>
      <c r="L13">
        <f t="shared" si="1"/>
        <v>98</v>
      </c>
      <c r="M13">
        <v>22</v>
      </c>
    </row>
    <row r="14" spans="1:16" x14ac:dyDescent="0.25">
      <c r="A14" t="s">
        <v>38</v>
      </c>
      <c r="B14" t="s">
        <v>89</v>
      </c>
      <c r="C14">
        <f t="shared" si="0"/>
        <v>253</v>
      </c>
      <c r="D14">
        <v>1</v>
      </c>
      <c r="I14" s="10" t="s">
        <v>7</v>
      </c>
      <c r="J14" s="23" t="s">
        <v>96</v>
      </c>
      <c r="L14">
        <f t="shared" si="1"/>
        <v>120</v>
      </c>
      <c r="M14">
        <v>3</v>
      </c>
    </row>
    <row r="15" spans="1:16" x14ac:dyDescent="0.25">
      <c r="A15" t="s">
        <v>39</v>
      </c>
      <c r="B15" t="s">
        <v>97</v>
      </c>
      <c r="C15">
        <f t="shared" si="0"/>
        <v>254</v>
      </c>
      <c r="D15">
        <v>15</v>
      </c>
      <c r="I15" s="10" t="s">
        <v>8</v>
      </c>
      <c r="J15" s="23" t="s">
        <v>96</v>
      </c>
      <c r="L15">
        <f t="shared" si="1"/>
        <v>123</v>
      </c>
      <c r="M15">
        <v>3</v>
      </c>
    </row>
    <row r="16" spans="1:16" x14ac:dyDescent="0.25">
      <c r="A16" t="s">
        <v>40</v>
      </c>
      <c r="B16" t="s">
        <v>97</v>
      </c>
      <c r="C16">
        <f t="shared" si="0"/>
        <v>269</v>
      </c>
      <c r="D16">
        <v>6</v>
      </c>
      <c r="I16" s="10" t="s">
        <v>9</v>
      </c>
      <c r="J16" s="23" t="s">
        <v>97</v>
      </c>
      <c r="L16">
        <f t="shared" si="1"/>
        <v>126</v>
      </c>
      <c r="M16">
        <v>15</v>
      </c>
      <c r="P16">
        <v>2</v>
      </c>
    </row>
    <row r="17" spans="1:16" x14ac:dyDescent="0.25">
      <c r="A17" t="s">
        <v>41</v>
      </c>
      <c r="B17" t="s">
        <v>97</v>
      </c>
      <c r="C17">
        <f t="shared" si="0"/>
        <v>275</v>
      </c>
      <c r="D17">
        <v>15</v>
      </c>
      <c r="I17" s="10" t="s">
        <v>81</v>
      </c>
      <c r="J17" s="23" t="s">
        <v>89</v>
      </c>
      <c r="L17">
        <f t="shared" si="1"/>
        <v>141</v>
      </c>
      <c r="M17">
        <v>22</v>
      </c>
    </row>
    <row r="18" spans="1:16" x14ac:dyDescent="0.25">
      <c r="A18" t="s">
        <v>31</v>
      </c>
      <c r="B18" t="s">
        <v>89</v>
      </c>
      <c r="C18">
        <f t="shared" si="0"/>
        <v>290</v>
      </c>
      <c r="D18">
        <v>8</v>
      </c>
      <c r="I18" s="15" t="s">
        <v>10</v>
      </c>
      <c r="J18" s="23" t="s">
        <v>96</v>
      </c>
      <c r="L18">
        <f t="shared" si="1"/>
        <v>163</v>
      </c>
      <c r="M18">
        <v>4</v>
      </c>
    </row>
    <row r="19" spans="1:16" x14ac:dyDescent="0.25">
      <c r="A19" t="s">
        <v>47</v>
      </c>
      <c r="B19" t="s">
        <v>89</v>
      </c>
      <c r="C19">
        <f t="shared" si="0"/>
        <v>298</v>
      </c>
      <c r="D19">
        <v>15</v>
      </c>
      <c r="I19" s="15" t="s">
        <v>11</v>
      </c>
      <c r="J19" s="23" t="s">
        <v>96</v>
      </c>
      <c r="L19">
        <f t="shared" si="1"/>
        <v>167</v>
      </c>
      <c r="M19">
        <v>4</v>
      </c>
    </row>
    <row r="20" spans="1:16" x14ac:dyDescent="0.25">
      <c r="C20">
        <f t="shared" si="0"/>
        <v>313</v>
      </c>
      <c r="I20" s="15" t="s">
        <v>12</v>
      </c>
      <c r="J20" s="23" t="s">
        <v>96</v>
      </c>
      <c r="L20">
        <f t="shared" si="1"/>
        <v>171</v>
      </c>
      <c r="M20">
        <v>4</v>
      </c>
    </row>
    <row r="21" spans="1:16" ht="15.75" x14ac:dyDescent="0.25">
      <c r="A21" s="48" t="s">
        <v>95</v>
      </c>
      <c r="B21" s="48"/>
      <c r="C21" s="48"/>
      <c r="D21" s="48"/>
      <c r="E21" s="48"/>
      <c r="F21" s="48"/>
      <c r="G21" s="48"/>
      <c r="H21" s="47"/>
      <c r="I21" s="15" t="s">
        <v>13</v>
      </c>
      <c r="J21" s="23" t="s">
        <v>96</v>
      </c>
      <c r="L21">
        <f t="shared" si="1"/>
        <v>175</v>
      </c>
      <c r="M21">
        <v>2</v>
      </c>
    </row>
    <row r="22" spans="1:16" x14ac:dyDescent="0.25">
      <c r="A22" s="49" t="s">
        <v>101</v>
      </c>
      <c r="B22" s="49"/>
      <c r="C22" s="49"/>
      <c r="D22" s="49"/>
      <c r="E22" s="47"/>
      <c r="F22" s="47"/>
      <c r="G22" s="47"/>
      <c r="H22" s="47"/>
      <c r="I22" s="15" t="s">
        <v>14</v>
      </c>
      <c r="J22" s="23" t="s">
        <v>89</v>
      </c>
      <c r="L22">
        <f t="shared" si="1"/>
        <v>177</v>
      </c>
      <c r="M22">
        <v>1</v>
      </c>
    </row>
    <row r="23" spans="1:16" x14ac:dyDescent="0.25">
      <c r="I23" s="10" t="s">
        <v>50</v>
      </c>
      <c r="J23" s="23" t="s">
        <v>96</v>
      </c>
      <c r="L23">
        <f t="shared" si="1"/>
        <v>178</v>
      </c>
      <c r="M23">
        <v>3</v>
      </c>
    </row>
    <row r="24" spans="1:16" x14ac:dyDescent="0.25">
      <c r="I24" s="15" t="s">
        <v>15</v>
      </c>
      <c r="J24" s="23" t="s">
        <v>96</v>
      </c>
      <c r="L24">
        <f t="shared" si="1"/>
        <v>181</v>
      </c>
      <c r="M24">
        <v>2</v>
      </c>
    </row>
    <row r="25" spans="1:16" x14ac:dyDescent="0.25">
      <c r="I25" s="15" t="s">
        <v>16</v>
      </c>
      <c r="J25" s="23" t="s">
        <v>97</v>
      </c>
      <c r="L25">
        <f t="shared" si="1"/>
        <v>183</v>
      </c>
      <c r="M25">
        <v>6</v>
      </c>
      <c r="P25">
        <v>2</v>
      </c>
    </row>
    <row r="26" spans="1:16" x14ac:dyDescent="0.25">
      <c r="I26" s="10" t="s">
        <v>82</v>
      </c>
      <c r="J26" s="23" t="s">
        <v>89</v>
      </c>
      <c r="L26">
        <f t="shared" si="1"/>
        <v>189</v>
      </c>
      <c r="M26">
        <v>22</v>
      </c>
    </row>
    <row r="27" spans="1:16" x14ac:dyDescent="0.25">
      <c r="I27" s="15" t="s">
        <v>17</v>
      </c>
      <c r="J27" s="23" t="s">
        <v>96</v>
      </c>
      <c r="L27">
        <f t="shared" si="1"/>
        <v>211</v>
      </c>
      <c r="M27">
        <v>4</v>
      </c>
    </row>
    <row r="28" spans="1:16" x14ac:dyDescent="0.25">
      <c r="I28" s="15" t="s">
        <v>18</v>
      </c>
      <c r="J28" s="23" t="s">
        <v>96</v>
      </c>
      <c r="L28">
        <f t="shared" si="1"/>
        <v>215</v>
      </c>
      <c r="M28">
        <v>4</v>
      </c>
    </row>
    <row r="29" spans="1:16" x14ac:dyDescent="0.25">
      <c r="I29" s="15" t="s">
        <v>19</v>
      </c>
      <c r="J29" s="23" t="s">
        <v>96</v>
      </c>
      <c r="L29">
        <f t="shared" si="1"/>
        <v>219</v>
      </c>
      <c r="M29">
        <v>4</v>
      </c>
    </row>
    <row r="30" spans="1:16" x14ac:dyDescent="0.25">
      <c r="I30" s="15" t="s">
        <v>20</v>
      </c>
      <c r="J30" s="23" t="s">
        <v>96</v>
      </c>
      <c r="L30">
        <f t="shared" si="1"/>
        <v>223</v>
      </c>
      <c r="M30">
        <v>2</v>
      </c>
    </row>
    <row r="31" spans="1:16" x14ac:dyDescent="0.25">
      <c r="I31" s="15" t="s">
        <v>21</v>
      </c>
      <c r="J31" s="23" t="s">
        <v>89</v>
      </c>
      <c r="L31">
        <f t="shared" si="1"/>
        <v>225</v>
      </c>
      <c r="M31">
        <v>1</v>
      </c>
    </row>
    <row r="32" spans="1:16" x14ac:dyDescent="0.25">
      <c r="I32" s="10" t="s">
        <v>51</v>
      </c>
      <c r="J32" s="23" t="s">
        <v>96</v>
      </c>
      <c r="L32">
        <f t="shared" si="1"/>
        <v>226</v>
      </c>
      <c r="M32">
        <v>3</v>
      </c>
    </row>
    <row r="33" spans="9:16" x14ac:dyDescent="0.25">
      <c r="I33" s="15" t="s">
        <v>22</v>
      </c>
      <c r="J33" s="23" t="s">
        <v>96</v>
      </c>
      <c r="L33">
        <f t="shared" si="1"/>
        <v>229</v>
      </c>
      <c r="M33">
        <v>2</v>
      </c>
    </row>
    <row r="34" spans="9:16" x14ac:dyDescent="0.25">
      <c r="I34" s="15" t="s">
        <v>23</v>
      </c>
      <c r="J34" s="23" t="s">
        <v>97</v>
      </c>
      <c r="L34">
        <f t="shared" si="1"/>
        <v>231</v>
      </c>
      <c r="M34">
        <v>6</v>
      </c>
      <c r="P34">
        <v>2</v>
      </c>
    </row>
    <row r="35" spans="9:16" x14ac:dyDescent="0.25">
      <c r="I35" s="10" t="s">
        <v>83</v>
      </c>
      <c r="J35" s="23" t="s">
        <v>89</v>
      </c>
      <c r="L35">
        <f t="shared" si="1"/>
        <v>237</v>
      </c>
      <c r="M35">
        <v>22</v>
      </c>
    </row>
    <row r="36" spans="9:16" x14ac:dyDescent="0.25">
      <c r="I36" s="15" t="s">
        <v>24</v>
      </c>
      <c r="J36" s="23" t="s">
        <v>96</v>
      </c>
      <c r="L36">
        <f t="shared" si="1"/>
        <v>259</v>
      </c>
      <c r="M36">
        <v>4</v>
      </c>
    </row>
    <row r="37" spans="9:16" x14ac:dyDescent="0.25">
      <c r="I37" s="15" t="s">
        <v>25</v>
      </c>
      <c r="J37" s="23" t="s">
        <v>96</v>
      </c>
      <c r="L37">
        <f t="shared" si="1"/>
        <v>263</v>
      </c>
      <c r="M37">
        <v>4</v>
      </c>
    </row>
    <row r="38" spans="9:16" x14ac:dyDescent="0.25">
      <c r="I38" s="15" t="s">
        <v>26</v>
      </c>
      <c r="J38" s="23" t="s">
        <v>96</v>
      </c>
      <c r="L38">
        <f t="shared" si="1"/>
        <v>267</v>
      </c>
      <c r="M38">
        <v>4</v>
      </c>
    </row>
    <row r="39" spans="9:16" x14ac:dyDescent="0.25">
      <c r="I39" s="15" t="s">
        <v>27</v>
      </c>
      <c r="J39" s="23" t="s">
        <v>96</v>
      </c>
      <c r="L39">
        <f t="shared" si="1"/>
        <v>271</v>
      </c>
      <c r="M39">
        <v>2</v>
      </c>
    </row>
    <row r="40" spans="9:16" x14ac:dyDescent="0.25">
      <c r="I40" s="15" t="s">
        <v>28</v>
      </c>
      <c r="J40" s="23" t="s">
        <v>89</v>
      </c>
      <c r="L40">
        <f t="shared" si="1"/>
        <v>273</v>
      </c>
      <c r="M40">
        <v>1</v>
      </c>
    </row>
    <row r="41" spans="9:16" x14ac:dyDescent="0.25">
      <c r="I41" s="10" t="s">
        <v>52</v>
      </c>
      <c r="J41" s="23" t="s">
        <v>96</v>
      </c>
      <c r="L41">
        <f t="shared" si="1"/>
        <v>274</v>
      </c>
      <c r="M41">
        <v>3</v>
      </c>
    </row>
    <row r="42" spans="9:16" x14ac:dyDescent="0.25">
      <c r="I42" s="15" t="s">
        <v>29</v>
      </c>
      <c r="J42" s="23" t="s">
        <v>96</v>
      </c>
      <c r="L42">
        <f t="shared" si="1"/>
        <v>277</v>
      </c>
      <c r="M42">
        <v>2</v>
      </c>
    </row>
    <row r="43" spans="9:16" x14ac:dyDescent="0.25">
      <c r="I43" s="15" t="s">
        <v>30</v>
      </c>
      <c r="J43" s="23" t="s">
        <v>97</v>
      </c>
      <c r="L43">
        <f t="shared" si="1"/>
        <v>279</v>
      </c>
      <c r="M43">
        <v>6</v>
      </c>
      <c r="P43">
        <v>2</v>
      </c>
    </row>
    <row r="44" spans="9:16" x14ac:dyDescent="0.25">
      <c r="I44" s="10" t="s">
        <v>84</v>
      </c>
      <c r="J44" s="23" t="s">
        <v>89</v>
      </c>
      <c r="L44">
        <f t="shared" si="1"/>
        <v>285</v>
      </c>
      <c r="M44">
        <v>22</v>
      </c>
    </row>
    <row r="45" spans="9:16" x14ac:dyDescent="0.25">
      <c r="I45" s="15" t="s">
        <v>31</v>
      </c>
      <c r="J45" s="23" t="s">
        <v>89</v>
      </c>
      <c r="L45">
        <f t="shared" si="1"/>
        <v>307</v>
      </c>
      <c r="M45">
        <v>8</v>
      </c>
    </row>
    <row r="46" spans="9:16" x14ac:dyDescent="0.25">
      <c r="I46" s="19" t="s">
        <v>47</v>
      </c>
      <c r="J46" s="23" t="s">
        <v>89</v>
      </c>
      <c r="L46">
        <f t="shared" si="1"/>
        <v>315</v>
      </c>
      <c r="M46">
        <v>15</v>
      </c>
    </row>
    <row r="47" spans="9:16" x14ac:dyDescent="0.25">
      <c r="L47">
        <f t="shared" si="1"/>
        <v>330</v>
      </c>
    </row>
  </sheetData>
  <autoFilter ref="I1:M47" xr:uid="{00000000-0009-0000-0000-000003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Archivo Secuencial Catastro</vt:lpstr>
      <vt:lpstr>Archivo Secuencial Resoluciones</vt:lpstr>
      <vt:lpstr>Cabeceras r1r2</vt:lpstr>
      <vt:lpstr>Pentaho ESTRUCTURA</vt:lpstr>
      <vt:lpstr>ACCESS ESTRUCTURA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Ganillo</cp:lastModifiedBy>
  <cp:lastPrinted>2013-10-28T16:15:01Z</cp:lastPrinted>
  <dcterms:created xsi:type="dcterms:W3CDTF">2013-10-24T16:18:25Z</dcterms:created>
  <dcterms:modified xsi:type="dcterms:W3CDTF">2022-11-11T14:45:02Z</dcterms:modified>
</cp:coreProperties>
</file>